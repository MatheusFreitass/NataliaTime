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9420" windowHeight="6255" activeTab="3"/>
  </bookViews>
  <sheets>
    <sheet name="input" sheetId="1" r:id="rId1"/>
    <sheet name="correcoes" sheetId="2" r:id="rId2"/>
    <sheet name="areas" sheetId="3" r:id="rId3"/>
    <sheet name="Analise_tempo" sheetId="4" r:id="rId4"/>
    <sheet name="Plan1" sheetId="5" r:id="rId5"/>
  </sheets>
  <definedNames>
    <definedName name="a">correcoes!$C$63</definedName>
    <definedName name="alfa">correcoes!$J$64</definedName>
    <definedName name="_xlnm.Print_Area" localSheetId="0">input!$B$64:$I$80</definedName>
    <definedName name="b">correcoes!$C$64</definedName>
    <definedName name="d">Analise_tempo!$E$2</definedName>
    <definedName name="kb">correcoes!$C$69</definedName>
    <definedName name="T">correcoes!$C$70</definedName>
    <definedName name="time">correcoes!$J$66</definedName>
  </definedNames>
  <calcPr calcId="125725" calcMode="manual"/>
</workbook>
</file>

<file path=xl/calcChain.xml><?xml version="1.0" encoding="utf-8"?>
<calcChain xmlns="http://schemas.openxmlformats.org/spreadsheetml/2006/main">
  <c r="D67" i="4"/>
  <c r="A10" i="1" l="1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9"/>
  <c r="J70" i="4"/>
  <c r="B73"/>
  <c r="C73"/>
  <c r="D73"/>
  <c r="B74"/>
  <c r="C74"/>
  <c r="D74"/>
  <c r="B75"/>
  <c r="C75"/>
  <c r="D75"/>
  <c r="B76"/>
  <c r="C76"/>
  <c r="D76"/>
  <c r="B77"/>
  <c r="C77"/>
  <c r="D77"/>
  <c r="B78"/>
  <c r="C78"/>
  <c r="D78"/>
  <c r="B79"/>
  <c r="C79"/>
  <c r="D79"/>
  <c r="B80"/>
  <c r="C80"/>
  <c r="D80"/>
  <c r="B81"/>
  <c r="C81"/>
  <c r="D81"/>
  <c r="B82"/>
  <c r="C82"/>
  <c r="D82"/>
  <c r="B83"/>
  <c r="C83"/>
  <c r="D83"/>
  <c r="B84"/>
  <c r="C84"/>
  <c r="D84"/>
  <c r="B85"/>
  <c r="C85"/>
  <c r="D85"/>
  <c r="B86"/>
  <c r="C86"/>
  <c r="D86"/>
  <c r="B87"/>
  <c r="C87"/>
  <c r="D87"/>
  <c r="B88"/>
  <c r="C88"/>
  <c r="D88"/>
  <c r="B89"/>
  <c r="C89"/>
  <c r="D89"/>
  <c r="B90"/>
  <c r="C90"/>
  <c r="D90"/>
  <c r="B91"/>
  <c r="C91"/>
  <c r="D91"/>
  <c r="B92"/>
  <c r="C92"/>
  <c r="D92"/>
  <c r="B93"/>
  <c r="C93"/>
  <c r="D93"/>
  <c r="B94"/>
  <c r="C94"/>
  <c r="D94"/>
  <c r="B95"/>
  <c r="C95"/>
  <c r="D95"/>
  <c r="B96"/>
  <c r="C96"/>
  <c r="D96"/>
  <c r="B97"/>
  <c r="C97"/>
  <c r="D97"/>
  <c r="B98"/>
  <c r="C98"/>
  <c r="D98"/>
  <c r="B99"/>
  <c r="C99"/>
  <c r="D99"/>
  <c r="B100"/>
  <c r="C100"/>
  <c r="D100"/>
  <c r="B101"/>
  <c r="C101"/>
  <c r="D101"/>
  <c r="B102"/>
  <c r="C102"/>
  <c r="D102"/>
  <c r="B103"/>
  <c r="C103"/>
  <c r="D103"/>
  <c r="B104"/>
  <c r="C104"/>
  <c r="D104"/>
  <c r="B105"/>
  <c r="C105"/>
  <c r="D105"/>
  <c r="B106"/>
  <c r="C106"/>
  <c r="D106"/>
  <c r="B107"/>
  <c r="C107"/>
  <c r="D107"/>
  <c r="B108"/>
  <c r="C108"/>
  <c r="D108"/>
  <c r="B109"/>
  <c r="C109"/>
  <c r="D109"/>
  <c r="B110"/>
  <c r="C110"/>
  <c r="D110"/>
  <c r="B111"/>
  <c r="C111"/>
  <c r="D111"/>
  <c r="B112"/>
  <c r="C112"/>
  <c r="D112"/>
  <c r="B113"/>
  <c r="C113"/>
  <c r="D113"/>
  <c r="B114"/>
  <c r="C114"/>
  <c r="D114"/>
  <c r="B115"/>
  <c r="C115"/>
  <c r="D115"/>
  <c r="B116"/>
  <c r="C116"/>
  <c r="D116"/>
  <c r="B117"/>
  <c r="C117"/>
  <c r="D117"/>
  <c r="B118"/>
  <c r="C118"/>
  <c r="D118"/>
  <c r="B119"/>
  <c r="C119"/>
  <c r="D119"/>
  <c r="B120"/>
  <c r="C120"/>
  <c r="D120"/>
  <c r="B121"/>
  <c r="C121"/>
  <c r="D121"/>
  <c r="B122"/>
  <c r="C122"/>
  <c r="D122"/>
  <c r="B14"/>
  <c r="I14" s="1"/>
  <c r="L14" s="1"/>
  <c r="C14"/>
  <c r="D14"/>
  <c r="B15"/>
  <c r="C15"/>
  <c r="D15"/>
  <c r="B16"/>
  <c r="I15" s="1"/>
  <c r="L15" s="1"/>
  <c r="C16"/>
  <c r="D16"/>
  <c r="B17"/>
  <c r="C17"/>
  <c r="D17"/>
  <c r="B18"/>
  <c r="C18"/>
  <c r="D18"/>
  <c r="B19"/>
  <c r="C19"/>
  <c r="D19"/>
  <c r="B20"/>
  <c r="I17" s="1"/>
  <c r="L17" s="1"/>
  <c r="C20"/>
  <c r="D20"/>
  <c r="B21"/>
  <c r="C21"/>
  <c r="D21"/>
  <c r="B22"/>
  <c r="C22"/>
  <c r="D22"/>
  <c r="B23"/>
  <c r="C23"/>
  <c r="D23"/>
  <c r="B24"/>
  <c r="I19" s="1"/>
  <c r="L19" s="1"/>
  <c r="C24"/>
  <c r="D24"/>
  <c r="B25"/>
  <c r="C25"/>
  <c r="D25"/>
  <c r="B26"/>
  <c r="I20" s="1"/>
  <c r="L20" s="1"/>
  <c r="C26"/>
  <c r="D26"/>
  <c r="B27"/>
  <c r="C27"/>
  <c r="D27"/>
  <c r="B28"/>
  <c r="I21" s="1"/>
  <c r="L21" s="1"/>
  <c r="C28"/>
  <c r="D28"/>
  <c r="B29"/>
  <c r="C29"/>
  <c r="D29"/>
  <c r="B30"/>
  <c r="I22" s="1"/>
  <c r="L22" s="1"/>
  <c r="C30"/>
  <c r="D30"/>
  <c r="B31"/>
  <c r="C31"/>
  <c r="D31"/>
  <c r="B32"/>
  <c r="I23" s="1"/>
  <c r="L23" s="1"/>
  <c r="C32"/>
  <c r="D32"/>
  <c r="B33"/>
  <c r="C33"/>
  <c r="D33"/>
  <c r="B34"/>
  <c r="I24" s="1"/>
  <c r="L24" s="1"/>
  <c r="C34"/>
  <c r="D34"/>
  <c r="B35"/>
  <c r="C35"/>
  <c r="D35"/>
  <c r="B36"/>
  <c r="I25" s="1"/>
  <c r="L25" s="1"/>
  <c r="C36"/>
  <c r="D36"/>
  <c r="B37"/>
  <c r="C37"/>
  <c r="D37"/>
  <c r="B38"/>
  <c r="I26" s="1"/>
  <c r="L26" s="1"/>
  <c r="C38"/>
  <c r="D38"/>
  <c r="B39"/>
  <c r="C39"/>
  <c r="D39"/>
  <c r="B40"/>
  <c r="I27" s="1"/>
  <c r="L27" s="1"/>
  <c r="C40"/>
  <c r="D40"/>
  <c r="B41"/>
  <c r="C41"/>
  <c r="D41"/>
  <c r="B42"/>
  <c r="C42"/>
  <c r="D42"/>
  <c r="B43"/>
  <c r="C43"/>
  <c r="D43"/>
  <c r="B44"/>
  <c r="C44"/>
  <c r="D44"/>
  <c r="B45"/>
  <c r="C45"/>
  <c r="D45"/>
  <c r="B46"/>
  <c r="I30" s="1"/>
  <c r="L30" s="1"/>
  <c r="C46"/>
  <c r="D46"/>
  <c r="B47"/>
  <c r="C47"/>
  <c r="D47"/>
  <c r="B48"/>
  <c r="I31" s="1"/>
  <c r="L31" s="1"/>
  <c r="C48"/>
  <c r="D48"/>
  <c r="B49"/>
  <c r="C49"/>
  <c r="D49"/>
  <c r="B50"/>
  <c r="C50"/>
  <c r="D50"/>
  <c r="B51"/>
  <c r="C51"/>
  <c r="D51"/>
  <c r="B52"/>
  <c r="I33" s="1"/>
  <c r="L33" s="1"/>
  <c r="C52"/>
  <c r="D52"/>
  <c r="B53"/>
  <c r="C53"/>
  <c r="D53"/>
  <c r="B54"/>
  <c r="I34" s="1"/>
  <c r="L34" s="1"/>
  <c r="C54"/>
  <c r="D54"/>
  <c r="B55"/>
  <c r="C55"/>
  <c r="D55"/>
  <c r="B56"/>
  <c r="I35" s="1"/>
  <c r="L35" s="1"/>
  <c r="C56"/>
  <c r="D56"/>
  <c r="B57"/>
  <c r="C57"/>
  <c r="D57"/>
  <c r="B58"/>
  <c r="C58"/>
  <c r="D58"/>
  <c r="B59"/>
  <c r="C59"/>
  <c r="D59"/>
  <c r="B60"/>
  <c r="I37" s="1"/>
  <c r="L37" s="1"/>
  <c r="C60"/>
  <c r="D60"/>
  <c r="B61"/>
  <c r="C61"/>
  <c r="D61"/>
  <c r="B62"/>
  <c r="C62"/>
  <c r="D62"/>
  <c r="B63"/>
  <c r="C63"/>
  <c r="D63"/>
  <c r="I26" i="3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B55" i="2"/>
  <c r="B56" i="3"/>
  <c r="H56" s="1"/>
  <c r="C55" i="2"/>
  <c r="F113" s="1"/>
  <c r="D55"/>
  <c r="E55"/>
  <c r="F55"/>
  <c r="G55"/>
  <c r="H55"/>
  <c r="I55"/>
  <c r="J55"/>
  <c r="B56"/>
  <c r="B57" i="3" s="1"/>
  <c r="H57" s="1"/>
  <c r="C56" i="2"/>
  <c r="K114"/>
  <c r="D56"/>
  <c r="E56"/>
  <c r="F56"/>
  <c r="G56"/>
  <c r="H56"/>
  <c r="I56"/>
  <c r="J56"/>
  <c r="O56" s="1"/>
  <c r="E114" s="1"/>
  <c r="G114" s="1"/>
  <c r="E61" i="4" s="1"/>
  <c r="M56" i="2"/>
  <c r="B57"/>
  <c r="B58" i="3" s="1"/>
  <c r="H58" s="1"/>
  <c r="C57" i="2"/>
  <c r="F115" s="1"/>
  <c r="D57"/>
  <c r="E57"/>
  <c r="N57" s="1"/>
  <c r="L115" s="1"/>
  <c r="M115" s="1"/>
  <c r="F62" i="4" s="1"/>
  <c r="F57" i="2"/>
  <c r="G57"/>
  <c r="H57"/>
  <c r="I57"/>
  <c r="J57"/>
  <c r="M57"/>
  <c r="B58"/>
  <c r="B59" i="3" s="1"/>
  <c r="H59" s="1"/>
  <c r="C58" i="2"/>
  <c r="K116" s="1"/>
  <c r="D58"/>
  <c r="E58"/>
  <c r="F58"/>
  <c r="N58" s="1"/>
  <c r="L116" s="1"/>
  <c r="M116" s="1"/>
  <c r="G58"/>
  <c r="H58"/>
  <c r="I58"/>
  <c r="J58"/>
  <c r="B54"/>
  <c r="B55" i="3" s="1"/>
  <c r="H55" s="1"/>
  <c r="C54" i="2"/>
  <c r="C55" i="3" s="1"/>
  <c r="D54" i="2"/>
  <c r="E54"/>
  <c r="F54"/>
  <c r="G54"/>
  <c r="H54"/>
  <c r="I54"/>
  <c r="J54"/>
  <c r="B49"/>
  <c r="B50" i="3" s="1"/>
  <c r="H50" s="1"/>
  <c r="C49" i="2"/>
  <c r="C50" i="3" s="1"/>
  <c r="D49" i="2"/>
  <c r="E49"/>
  <c r="F49"/>
  <c r="G49"/>
  <c r="H49"/>
  <c r="I49"/>
  <c r="J49"/>
  <c r="B50"/>
  <c r="B51" i="3" s="1"/>
  <c r="H51" s="1"/>
  <c r="C50" i="2"/>
  <c r="M50" s="1"/>
  <c r="D50"/>
  <c r="E50"/>
  <c r="F50"/>
  <c r="G50"/>
  <c r="H50"/>
  <c r="I50"/>
  <c r="J50"/>
  <c r="B51"/>
  <c r="B52" i="3" s="1"/>
  <c r="H52" s="1"/>
  <c r="C51" i="2"/>
  <c r="C52" i="3" s="1"/>
  <c r="D51" i="2"/>
  <c r="E51"/>
  <c r="N51" s="1"/>
  <c r="L109" s="1"/>
  <c r="M109" s="1"/>
  <c r="F51"/>
  <c r="G51"/>
  <c r="H51"/>
  <c r="I51"/>
  <c r="J51"/>
  <c r="M51"/>
  <c r="B52"/>
  <c r="B53" i="3" s="1"/>
  <c r="H53" s="1"/>
  <c r="C52" i="2"/>
  <c r="F110" s="1"/>
  <c r="D52"/>
  <c r="E52"/>
  <c r="F52"/>
  <c r="G52"/>
  <c r="N52" s="1"/>
  <c r="L110" s="1"/>
  <c r="M110" s="1"/>
  <c r="H52"/>
  <c r="I52"/>
  <c r="J52"/>
  <c r="B53"/>
  <c r="B54" i="3" s="1"/>
  <c r="H54" s="1"/>
  <c r="C53" i="2"/>
  <c r="C54" i="3" s="1"/>
  <c r="D53" i="2"/>
  <c r="E53"/>
  <c r="F53"/>
  <c r="G53"/>
  <c r="H53"/>
  <c r="I53"/>
  <c r="J53"/>
  <c r="B15"/>
  <c r="B16" i="3" s="1"/>
  <c r="H16" s="1"/>
  <c r="C15" i="2"/>
  <c r="M15" s="1"/>
  <c r="D15"/>
  <c r="E15"/>
  <c r="F15"/>
  <c r="G15"/>
  <c r="H15"/>
  <c r="I15"/>
  <c r="J15"/>
  <c r="B16"/>
  <c r="C16"/>
  <c r="K74" s="1"/>
  <c r="D16"/>
  <c r="E16"/>
  <c r="F16"/>
  <c r="G16"/>
  <c r="H16"/>
  <c r="I16"/>
  <c r="O16" s="1"/>
  <c r="E74" s="1"/>
  <c r="G74" s="1"/>
  <c r="J16"/>
  <c r="B17"/>
  <c r="C17"/>
  <c r="K75" s="1"/>
  <c r="D17"/>
  <c r="E17"/>
  <c r="F17"/>
  <c r="N17" s="1"/>
  <c r="L75" s="1"/>
  <c r="M75" s="1"/>
  <c r="G17"/>
  <c r="H17"/>
  <c r="I17"/>
  <c r="J17"/>
  <c r="B18"/>
  <c r="B19" i="3" s="1"/>
  <c r="H19" s="1"/>
  <c r="C18" i="2"/>
  <c r="K76" s="1"/>
  <c r="D18"/>
  <c r="E18"/>
  <c r="F18"/>
  <c r="G18"/>
  <c r="H18"/>
  <c r="I18"/>
  <c r="J18"/>
  <c r="B19"/>
  <c r="B20" i="3" s="1"/>
  <c r="H20" s="1"/>
  <c r="C19" i="2"/>
  <c r="F77" s="1"/>
  <c r="D19"/>
  <c r="E19"/>
  <c r="F19"/>
  <c r="N19" s="1"/>
  <c r="L77" s="1"/>
  <c r="M77" s="1"/>
  <c r="G19"/>
  <c r="H19"/>
  <c r="I19"/>
  <c r="J19"/>
  <c r="B20"/>
  <c r="B21" i="3" s="1"/>
  <c r="H21" s="1"/>
  <c r="C20" i="2"/>
  <c r="F78" s="1"/>
  <c r="D20"/>
  <c r="E20"/>
  <c r="F20"/>
  <c r="G20"/>
  <c r="H20"/>
  <c r="I20"/>
  <c r="J20"/>
  <c r="B21"/>
  <c r="B22" i="3" s="1"/>
  <c r="H22" s="1"/>
  <c r="C21" i="2"/>
  <c r="F79" s="1"/>
  <c r="D21"/>
  <c r="E21"/>
  <c r="F21"/>
  <c r="N21" s="1"/>
  <c r="L79" s="1"/>
  <c r="M79" s="1"/>
  <c r="G21"/>
  <c r="H21"/>
  <c r="I21"/>
  <c r="J21"/>
  <c r="B22"/>
  <c r="B23" i="3" s="1"/>
  <c r="H23" s="1"/>
  <c r="C22" i="2"/>
  <c r="K80" s="1"/>
  <c r="D22"/>
  <c r="E22"/>
  <c r="F22"/>
  <c r="G22"/>
  <c r="H22"/>
  <c r="I22"/>
  <c r="J22"/>
  <c r="B23"/>
  <c r="C23"/>
  <c r="F81" s="1"/>
  <c r="D23"/>
  <c r="E23"/>
  <c r="F23"/>
  <c r="G23"/>
  <c r="H23"/>
  <c r="I23"/>
  <c r="J23"/>
  <c r="B24"/>
  <c r="C24"/>
  <c r="K82" s="1"/>
  <c r="D24"/>
  <c r="E24"/>
  <c r="F24"/>
  <c r="G24"/>
  <c r="H24"/>
  <c r="I24"/>
  <c r="J24"/>
  <c r="B25"/>
  <c r="B26" i="3" s="1"/>
  <c r="H26" s="1"/>
  <c r="C25" i="2"/>
  <c r="C26" i="3" s="1"/>
  <c r="D25" i="2"/>
  <c r="E25"/>
  <c r="F25"/>
  <c r="G25"/>
  <c r="H25"/>
  <c r="I25"/>
  <c r="J25"/>
  <c r="B26"/>
  <c r="B27" i="3" s="1"/>
  <c r="H27" s="1"/>
  <c r="C26" i="2"/>
  <c r="C27" i="3" s="1"/>
  <c r="D26" i="2"/>
  <c r="E26"/>
  <c r="F26"/>
  <c r="G26"/>
  <c r="H26"/>
  <c r="I26"/>
  <c r="J26"/>
  <c r="B27"/>
  <c r="B28" i="3" s="1"/>
  <c r="H28" s="1"/>
  <c r="C27" i="2"/>
  <c r="F85" s="1"/>
  <c r="D27"/>
  <c r="E27"/>
  <c r="F27"/>
  <c r="G27"/>
  <c r="H27"/>
  <c r="I27"/>
  <c r="J27"/>
  <c r="B28"/>
  <c r="B29" i="3" s="1"/>
  <c r="H29" s="1"/>
  <c r="C28" i="2"/>
  <c r="C29" i="3" s="1"/>
  <c r="D28" i="2"/>
  <c r="E28"/>
  <c r="F28"/>
  <c r="G28"/>
  <c r="H28"/>
  <c r="I28"/>
  <c r="J28"/>
  <c r="B29"/>
  <c r="B30" i="3" s="1"/>
  <c r="H30" s="1"/>
  <c r="C29" i="2"/>
  <c r="C30" i="3" s="1"/>
  <c r="D29" i="2"/>
  <c r="E29"/>
  <c r="F29"/>
  <c r="G29"/>
  <c r="H29"/>
  <c r="I29"/>
  <c r="J29"/>
  <c r="O29" s="1"/>
  <c r="E87" s="1"/>
  <c r="G87" s="1"/>
  <c r="E93" i="4" s="1"/>
  <c r="B30" i="2"/>
  <c r="B31" i="3" s="1"/>
  <c r="H31" s="1"/>
  <c r="C30" i="2"/>
  <c r="C31" i="3" s="1"/>
  <c r="D30" i="2"/>
  <c r="E30"/>
  <c r="F30"/>
  <c r="G30"/>
  <c r="H30"/>
  <c r="I30"/>
  <c r="J30"/>
  <c r="B31"/>
  <c r="B32" i="3" s="1"/>
  <c r="H32" s="1"/>
  <c r="C31" i="2"/>
  <c r="F89" s="1"/>
  <c r="D31"/>
  <c r="N31" s="1"/>
  <c r="L89" s="1"/>
  <c r="M89" s="1"/>
  <c r="E31"/>
  <c r="F31"/>
  <c r="G31"/>
  <c r="H31"/>
  <c r="I31"/>
  <c r="J31"/>
  <c r="B32"/>
  <c r="B33" i="3" s="1"/>
  <c r="H33" s="1"/>
  <c r="C32" i="2"/>
  <c r="C33" i="3" s="1"/>
  <c r="D32" i="2"/>
  <c r="E32"/>
  <c r="F32"/>
  <c r="G32"/>
  <c r="N32" s="1"/>
  <c r="L90" s="1"/>
  <c r="M90" s="1"/>
  <c r="H32"/>
  <c r="I32"/>
  <c r="J32"/>
  <c r="B33"/>
  <c r="B34" i="3" s="1"/>
  <c r="H34" s="1"/>
  <c r="C33" i="2"/>
  <c r="C34" i="3" s="1"/>
  <c r="D33" i="2"/>
  <c r="E33"/>
  <c r="F33"/>
  <c r="G33"/>
  <c r="H33"/>
  <c r="I33"/>
  <c r="J33"/>
  <c r="B34"/>
  <c r="B35" i="3" s="1"/>
  <c r="H35" s="1"/>
  <c r="C34" i="2"/>
  <c r="C35" i="3" s="1"/>
  <c r="D34" i="2"/>
  <c r="E34"/>
  <c r="F34"/>
  <c r="N34" s="1"/>
  <c r="L92" s="1"/>
  <c r="M92" s="1"/>
  <c r="G34"/>
  <c r="H34"/>
  <c r="I34"/>
  <c r="J34"/>
  <c r="B35"/>
  <c r="B36" i="3" s="1"/>
  <c r="H36" s="1"/>
  <c r="C35" i="2"/>
  <c r="F93" s="1"/>
  <c r="D35"/>
  <c r="E35"/>
  <c r="F35"/>
  <c r="G35"/>
  <c r="H35"/>
  <c r="I35"/>
  <c r="J35"/>
  <c r="B36"/>
  <c r="B37" i="3" s="1"/>
  <c r="H37" s="1"/>
  <c r="C36" i="2"/>
  <c r="C37" i="3" s="1"/>
  <c r="D36" i="2"/>
  <c r="E36"/>
  <c r="F36"/>
  <c r="N36" s="1"/>
  <c r="L94" s="1"/>
  <c r="M94" s="1"/>
  <c r="G36"/>
  <c r="H36"/>
  <c r="I36"/>
  <c r="J36"/>
  <c r="B37"/>
  <c r="B38" i="3" s="1"/>
  <c r="H38" s="1"/>
  <c r="C37" i="2"/>
  <c r="C38" i="3" s="1"/>
  <c r="D37" i="2"/>
  <c r="E37"/>
  <c r="F37"/>
  <c r="G37"/>
  <c r="H37"/>
  <c r="I37"/>
  <c r="J37"/>
  <c r="B38"/>
  <c r="B39" i="3" s="1"/>
  <c r="H39" s="1"/>
  <c r="C38" i="2"/>
  <c r="F96" s="1"/>
  <c r="D38"/>
  <c r="E38"/>
  <c r="F38"/>
  <c r="G38"/>
  <c r="H38"/>
  <c r="I38"/>
  <c r="J38"/>
  <c r="B39"/>
  <c r="B40" i="3" s="1"/>
  <c r="H40" s="1"/>
  <c r="C39" i="2"/>
  <c r="C40" i="3" s="1"/>
  <c r="D39" i="2"/>
  <c r="E39"/>
  <c r="F39"/>
  <c r="G39"/>
  <c r="H39"/>
  <c r="I39"/>
  <c r="J39"/>
  <c r="B40"/>
  <c r="B41" i="3" s="1"/>
  <c r="H41" s="1"/>
  <c r="C40" i="2"/>
  <c r="C41" i="3" s="1"/>
  <c r="D40" i="2"/>
  <c r="E40"/>
  <c r="F40"/>
  <c r="G40"/>
  <c r="H40"/>
  <c r="I40"/>
  <c r="J40"/>
  <c r="B41"/>
  <c r="B42" i="3" s="1"/>
  <c r="H42" s="1"/>
  <c r="C41" i="2"/>
  <c r="C42" i="3" s="1"/>
  <c r="D41" i="2"/>
  <c r="E41"/>
  <c r="F41"/>
  <c r="G41"/>
  <c r="H41"/>
  <c r="I41"/>
  <c r="J41"/>
  <c r="B42"/>
  <c r="B43" i="3" s="1"/>
  <c r="H43" s="1"/>
  <c r="C42" i="2"/>
  <c r="C43" i="3" s="1"/>
  <c r="D42" i="2"/>
  <c r="E42"/>
  <c r="F42"/>
  <c r="G42"/>
  <c r="H42"/>
  <c r="I42"/>
  <c r="J42"/>
  <c r="B43"/>
  <c r="B44" i="3" s="1"/>
  <c r="H44" s="1"/>
  <c r="C43" i="2"/>
  <c r="C44" i="3" s="1"/>
  <c r="D43" i="2"/>
  <c r="E43"/>
  <c r="F43"/>
  <c r="G43"/>
  <c r="H43"/>
  <c r="I43"/>
  <c r="J43"/>
  <c r="B44"/>
  <c r="B45" i="3" s="1"/>
  <c r="H45" s="1"/>
  <c r="C44" i="2"/>
  <c r="C45" i="3" s="1"/>
  <c r="D44" i="2"/>
  <c r="E44"/>
  <c r="F44"/>
  <c r="N44" s="1"/>
  <c r="L102" s="1"/>
  <c r="M102" s="1"/>
  <c r="G44"/>
  <c r="H44"/>
  <c r="I44"/>
  <c r="J44"/>
  <c r="B45"/>
  <c r="B46" i="3" s="1"/>
  <c r="H46" s="1"/>
  <c r="C45" i="2"/>
  <c r="C46" i="3" s="1"/>
  <c r="D45" i="2"/>
  <c r="E45"/>
  <c r="F45"/>
  <c r="G45"/>
  <c r="H45"/>
  <c r="I45"/>
  <c r="J45"/>
  <c r="B46"/>
  <c r="B47" i="3" s="1"/>
  <c r="H47" s="1"/>
  <c r="C46" i="2"/>
  <c r="C47" i="3" s="1"/>
  <c r="D46" i="2"/>
  <c r="E46"/>
  <c r="F46"/>
  <c r="G46"/>
  <c r="H46"/>
  <c r="I46"/>
  <c r="J46"/>
  <c r="B47"/>
  <c r="B48" i="3" s="1"/>
  <c r="H48" s="1"/>
  <c r="C47" i="2"/>
  <c r="C48" i="3" s="1"/>
  <c r="D47" i="2"/>
  <c r="E47"/>
  <c r="F47"/>
  <c r="G47"/>
  <c r="H47"/>
  <c r="I47"/>
  <c r="J47"/>
  <c r="B48"/>
  <c r="B49" i="3" s="1"/>
  <c r="H49" s="1"/>
  <c r="C48" i="2"/>
  <c r="C49" i="3" s="1"/>
  <c r="D48" i="2"/>
  <c r="E48"/>
  <c r="F48"/>
  <c r="G48"/>
  <c r="H48"/>
  <c r="I48"/>
  <c r="J48"/>
  <c r="J64"/>
  <c r="I7" i="3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6"/>
  <c r="B73" i="2"/>
  <c r="D12" i="4"/>
  <c r="D13"/>
  <c r="D10"/>
  <c r="J5" i="2"/>
  <c r="D11" i="4"/>
  <c r="J6" i="2"/>
  <c r="J14"/>
  <c r="J13"/>
  <c r="J9"/>
  <c r="J10"/>
  <c r="J11"/>
  <c r="J12"/>
  <c r="J7"/>
  <c r="J8"/>
  <c r="D69" i="4"/>
  <c r="D70"/>
  <c r="D71"/>
  <c r="D72"/>
  <c r="D68"/>
  <c r="F68"/>
  <c r="E68"/>
  <c r="B68"/>
  <c r="I70" s="1"/>
  <c r="L71" s="1"/>
  <c r="C68"/>
  <c r="B69"/>
  <c r="C69"/>
  <c r="B70"/>
  <c r="C70"/>
  <c r="B71"/>
  <c r="C71"/>
  <c r="B72"/>
  <c r="C72"/>
  <c r="H82" i="1"/>
  <c r="G76"/>
  <c r="H76"/>
  <c r="G77"/>
  <c r="H77"/>
  <c r="G78"/>
  <c r="H78"/>
  <c r="G79"/>
  <c r="H79"/>
  <c r="H75"/>
  <c r="G75"/>
  <c r="D82"/>
  <c r="C76"/>
  <c r="C77"/>
  <c r="C78"/>
  <c r="C79"/>
  <c r="C75"/>
  <c r="D76"/>
  <c r="D77"/>
  <c r="D78"/>
  <c r="D79"/>
  <c r="D75"/>
  <c r="I5" i="2"/>
  <c r="H5"/>
  <c r="J11" i="4"/>
  <c r="B11"/>
  <c r="C11"/>
  <c r="B12"/>
  <c r="C12"/>
  <c r="B13"/>
  <c r="C13"/>
  <c r="B9" i="2"/>
  <c r="B10" i="3" s="1"/>
  <c r="H10" s="1"/>
  <c r="C9" i="2"/>
  <c r="C10" i="3" s="1"/>
  <c r="D9" i="2"/>
  <c r="E9"/>
  <c r="F9"/>
  <c r="G9"/>
  <c r="H9"/>
  <c r="I9"/>
  <c r="B10"/>
  <c r="B11" i="3" s="1"/>
  <c r="H11" s="1"/>
  <c r="C10" i="2"/>
  <c r="C11" i="3" s="1"/>
  <c r="D10" i="2"/>
  <c r="E10"/>
  <c r="F10"/>
  <c r="G10"/>
  <c r="N10" s="1"/>
  <c r="L68" s="1"/>
  <c r="M68" s="1"/>
  <c r="H10"/>
  <c r="I10"/>
  <c r="B11"/>
  <c r="B12" i="3" s="1"/>
  <c r="H12" s="1"/>
  <c r="C11" i="2"/>
  <c r="C12" i="3" s="1"/>
  <c r="D11" i="2"/>
  <c r="E11"/>
  <c r="F11"/>
  <c r="G11"/>
  <c r="H11"/>
  <c r="I11"/>
  <c r="B12"/>
  <c r="B13" i="3" s="1"/>
  <c r="H13" s="1"/>
  <c r="C12" i="2"/>
  <c r="M12" s="1"/>
  <c r="D12"/>
  <c r="E12"/>
  <c r="F12"/>
  <c r="G12"/>
  <c r="H12"/>
  <c r="I12"/>
  <c r="B13"/>
  <c r="B14" i="3" s="1"/>
  <c r="H14" s="1"/>
  <c r="C13" i="2"/>
  <c r="K71" s="1"/>
  <c r="D13"/>
  <c r="E13"/>
  <c r="F13"/>
  <c r="G13"/>
  <c r="N13" s="1"/>
  <c r="L71" s="1"/>
  <c r="M71" s="1"/>
  <c r="H13"/>
  <c r="I13"/>
  <c r="B14"/>
  <c r="B15" i="3" s="1"/>
  <c r="H15" s="1"/>
  <c r="C14" i="2"/>
  <c r="F72" s="1"/>
  <c r="D14"/>
  <c r="E14"/>
  <c r="N14" s="1"/>
  <c r="L72" s="1"/>
  <c r="M72" s="1"/>
  <c r="F14"/>
  <c r="G14"/>
  <c r="H14"/>
  <c r="I14"/>
  <c r="C16" i="3"/>
  <c r="B17"/>
  <c r="H17" s="1"/>
  <c r="B18"/>
  <c r="H18" s="1"/>
  <c r="C20"/>
  <c r="C22"/>
  <c r="B24"/>
  <c r="H24" s="1"/>
  <c r="B25"/>
  <c r="H25" s="1"/>
  <c r="B9" i="4"/>
  <c r="I11" s="1"/>
  <c r="L12" s="1"/>
  <c r="B10"/>
  <c r="H7" i="2"/>
  <c r="I7"/>
  <c r="G7"/>
  <c r="F7"/>
  <c r="D7"/>
  <c r="E7"/>
  <c r="H8"/>
  <c r="I8"/>
  <c r="G8"/>
  <c r="F8"/>
  <c r="D8"/>
  <c r="E8"/>
  <c r="G5"/>
  <c r="F5"/>
  <c r="D5"/>
  <c r="E5"/>
  <c r="H6"/>
  <c r="I6"/>
  <c r="G6"/>
  <c r="F6"/>
  <c r="D6"/>
  <c r="E6"/>
  <c r="C6"/>
  <c r="C7" i="3" s="1"/>
  <c r="C7" i="2"/>
  <c r="C8" i="3" s="1"/>
  <c r="C8" i="2"/>
  <c r="K66" s="1"/>
  <c r="C5"/>
  <c r="C6" i="3" s="1"/>
  <c r="J4" i="2"/>
  <c r="B4"/>
  <c r="B5" i="3" s="1"/>
  <c r="H5" s="1"/>
  <c r="E9" i="4"/>
  <c r="C9"/>
  <c r="C10"/>
  <c r="C4" i="2"/>
  <c r="C5" i="3" s="1"/>
  <c r="F9" i="4"/>
  <c r="D8"/>
  <c r="D3" i="2"/>
  <c r="D4"/>
  <c r="E4"/>
  <c r="F4"/>
  <c r="G4"/>
  <c r="H4"/>
  <c r="I4"/>
  <c r="B6"/>
  <c r="B7" i="3" s="1"/>
  <c r="H7" s="1"/>
  <c r="B7" i="2"/>
  <c r="B8" i="3" s="1"/>
  <c r="H8" s="1"/>
  <c r="B8" i="2"/>
  <c r="B9" i="3" s="1"/>
  <c r="H9" s="1"/>
  <c r="B5" i="2"/>
  <c r="B6" i="3" s="1"/>
  <c r="H6" s="1"/>
  <c r="F75" i="2"/>
  <c r="K73"/>
  <c r="F73"/>
  <c r="I16" i="4"/>
  <c r="L16" s="1"/>
  <c r="I36"/>
  <c r="L36" s="1"/>
  <c r="I29"/>
  <c r="L29" s="1"/>
  <c r="I18"/>
  <c r="L18" s="1"/>
  <c r="C18" i="3"/>
  <c r="C24"/>
  <c r="N41" i="2"/>
  <c r="L99" s="1"/>
  <c r="M99" s="1"/>
  <c r="N47"/>
  <c r="L105" s="1"/>
  <c r="M105" s="1"/>
  <c r="N35"/>
  <c r="L93" s="1"/>
  <c r="M93" s="1"/>
  <c r="N38"/>
  <c r="L96" s="1"/>
  <c r="M96" s="1"/>
  <c r="F102" i="4" s="1"/>
  <c r="N37" i="2"/>
  <c r="L95" s="1"/>
  <c r="M95" s="1"/>
  <c r="O27"/>
  <c r="E85" s="1"/>
  <c r="G85" s="1"/>
  <c r="O23"/>
  <c r="E81" s="1"/>
  <c r="G81" s="1"/>
  <c r="F98"/>
  <c r="F92"/>
  <c r="F109"/>
  <c r="K111"/>
  <c r="K109"/>
  <c r="K107"/>
  <c r="K102"/>
  <c r="K99"/>
  <c r="K98"/>
  <c r="K89"/>
  <c r="K85"/>
  <c r="K83"/>
  <c r="K81"/>
  <c r="K79"/>
  <c r="K77"/>
  <c r="F104"/>
  <c r="F94"/>
  <c r="F111"/>
  <c r="F107"/>
  <c r="K112"/>
  <c r="K110"/>
  <c r="K108"/>
  <c r="K106"/>
  <c r="K104"/>
  <c r="K100"/>
  <c r="K97"/>
  <c r="K96"/>
  <c r="K94"/>
  <c r="K88"/>
  <c r="K87"/>
  <c r="F90"/>
  <c r="M7"/>
  <c r="K69"/>
  <c r="K64"/>
  <c r="M14"/>
  <c r="F71"/>
  <c r="N39"/>
  <c r="L97" s="1"/>
  <c r="M97" s="1"/>
  <c r="F44" i="4" s="1"/>
  <c r="N33" i="2"/>
  <c r="L91" s="1"/>
  <c r="M91" s="1"/>
  <c r="F38" i="4" s="1"/>
  <c r="N28" i="2"/>
  <c r="L86" s="1"/>
  <c r="M86" s="1"/>
  <c r="F92" i="4" s="1"/>
  <c r="N24" i="2"/>
  <c r="L82" s="1"/>
  <c r="M82" s="1"/>
  <c r="K68"/>
  <c r="N23"/>
  <c r="L81" s="1"/>
  <c r="M81" s="1"/>
  <c r="O30"/>
  <c r="E88" s="1"/>
  <c r="G88" s="1"/>
  <c r="E94" i="4" s="1"/>
  <c r="N48" i="2"/>
  <c r="L106" s="1"/>
  <c r="M106" s="1"/>
  <c r="M11"/>
  <c r="F66"/>
  <c r="M34"/>
  <c r="K92"/>
  <c r="M30"/>
  <c r="F88"/>
  <c r="M21"/>
  <c r="M19"/>
  <c r="K115"/>
  <c r="C59" i="3"/>
  <c r="C57"/>
  <c r="C53"/>
  <c r="C39"/>
  <c r="C32"/>
  <c r="C28"/>
  <c r="F116" i="2"/>
  <c r="F114"/>
  <c r="M31"/>
  <c r="M27"/>
  <c r="M23"/>
  <c r="M17"/>
  <c r="M52"/>
  <c r="O47" l="1"/>
  <c r="E105" s="1"/>
  <c r="G105" s="1"/>
  <c r="E52" i="4" s="1"/>
  <c r="N27" i="2"/>
  <c r="L85" s="1"/>
  <c r="M85" s="1"/>
  <c r="F91" i="4" s="1"/>
  <c r="F115"/>
  <c r="F56"/>
  <c r="C36" i="3"/>
  <c r="M20" i="2"/>
  <c r="F67"/>
  <c r="C13" i="3"/>
  <c r="K67" i="2"/>
  <c r="C25" i="3"/>
  <c r="N54" i="2"/>
  <c r="L112" s="1"/>
  <c r="M112" s="1"/>
  <c r="M58"/>
  <c r="M35"/>
  <c r="M16"/>
  <c r="F74"/>
  <c r="C17" i="3"/>
  <c r="C23"/>
  <c r="F86" i="2"/>
  <c r="F101"/>
  <c r="M55"/>
  <c r="C21" i="3"/>
  <c r="M26" i="2"/>
  <c r="M9"/>
  <c r="K93"/>
  <c r="K78"/>
  <c r="K105"/>
  <c r="F80"/>
  <c r="C19" i="3"/>
  <c r="M28" i="2"/>
  <c r="N56"/>
  <c r="I32" i="4"/>
  <c r="L32" s="1"/>
  <c r="I28"/>
  <c r="L28" s="1"/>
  <c r="I96"/>
  <c r="L96" s="1"/>
  <c r="I95"/>
  <c r="L95" s="1"/>
  <c r="I93"/>
  <c r="L93" s="1"/>
  <c r="I92"/>
  <c r="L92" s="1"/>
  <c r="I91"/>
  <c r="L91" s="1"/>
  <c r="I90"/>
  <c r="L90" s="1"/>
  <c r="I89"/>
  <c r="L89" s="1"/>
  <c r="I88"/>
  <c r="L88" s="1"/>
  <c r="I87"/>
  <c r="L87" s="1"/>
  <c r="I86"/>
  <c r="L86" s="1"/>
  <c r="I85"/>
  <c r="L85" s="1"/>
  <c r="I84"/>
  <c r="L84" s="1"/>
  <c r="I82"/>
  <c r="L82" s="1"/>
  <c r="I81"/>
  <c r="L81" s="1"/>
  <c r="F82" i="2"/>
  <c r="K95"/>
  <c r="F84"/>
  <c r="K113"/>
  <c r="M37"/>
  <c r="F64"/>
  <c r="K84"/>
  <c r="F95"/>
  <c r="M5"/>
  <c r="K70"/>
  <c r="K91"/>
  <c r="K101"/>
  <c r="K86"/>
  <c r="K103"/>
  <c r="F76"/>
  <c r="F70"/>
  <c r="M32"/>
  <c r="N46"/>
  <c r="L104" s="1"/>
  <c r="M104" s="1"/>
  <c r="F110" i="4" s="1"/>
  <c r="M44" i="2"/>
  <c r="F102"/>
  <c r="M54"/>
  <c r="F112"/>
  <c r="O36"/>
  <c r="E94" s="1"/>
  <c r="G94" s="1"/>
  <c r="N29"/>
  <c r="L87" s="1"/>
  <c r="M87" s="1"/>
  <c r="N42"/>
  <c r="L100" s="1"/>
  <c r="M100" s="1"/>
  <c r="F47" i="4" s="1"/>
  <c r="O13" i="2"/>
  <c r="E71" s="1"/>
  <c r="G71" s="1"/>
  <c r="E77" i="4" s="1"/>
  <c r="N12" i="2"/>
  <c r="L70" s="1"/>
  <c r="M70" s="1"/>
  <c r="I71" i="4"/>
  <c r="N25" i="2"/>
  <c r="L83" s="1"/>
  <c r="M83" s="1"/>
  <c r="F89" i="4" s="1"/>
  <c r="O57" i="2"/>
  <c r="E115" s="1"/>
  <c r="G115" s="1"/>
  <c r="K90"/>
  <c r="C51" i="3"/>
  <c r="F108" i="2"/>
  <c r="L114"/>
  <c r="M114" s="1"/>
  <c r="F120" i="4" s="1"/>
  <c r="I80"/>
  <c r="L80" s="1"/>
  <c r="I79"/>
  <c r="L79" s="1"/>
  <c r="I78"/>
  <c r="L78" s="1"/>
  <c r="I77"/>
  <c r="L77" s="1"/>
  <c r="I76"/>
  <c r="L76" s="1"/>
  <c r="I75"/>
  <c r="L75" s="1"/>
  <c r="I74"/>
  <c r="L74" s="1"/>
  <c r="I73"/>
  <c r="L73" s="1"/>
  <c r="F68" i="2"/>
  <c r="M13"/>
  <c r="M53"/>
  <c r="M49"/>
  <c r="O15"/>
  <c r="E73" s="1"/>
  <c r="G73" s="1"/>
  <c r="E79" i="4" s="1"/>
  <c r="N50" i="2"/>
  <c r="L108" s="1"/>
  <c r="M108" s="1"/>
  <c r="F55" i="4" s="1"/>
  <c r="O48" i="2"/>
  <c r="E106" s="1"/>
  <c r="G106" s="1"/>
  <c r="E112" i="4" s="1"/>
  <c r="O34" i="2"/>
  <c r="E92" s="1"/>
  <c r="G92" s="1"/>
  <c r="E39" i="4" s="1"/>
  <c r="O26" i="2"/>
  <c r="E84" s="1"/>
  <c r="G84" s="1"/>
  <c r="E90" i="4" s="1"/>
  <c r="O24" i="2"/>
  <c r="E82" s="1"/>
  <c r="G82" s="1"/>
  <c r="E88" i="4" s="1"/>
  <c r="O20" i="2"/>
  <c r="E78" s="1"/>
  <c r="G78" s="1"/>
  <c r="E84" i="4" s="1"/>
  <c r="K63" i="2"/>
  <c r="F63"/>
  <c r="K65"/>
  <c r="C15" i="3"/>
  <c r="K72" i="2"/>
  <c r="M10"/>
  <c r="F69"/>
  <c r="O49"/>
  <c r="E107" s="1"/>
  <c r="G107" s="1"/>
  <c r="E113" i="4" s="1"/>
  <c r="F43"/>
  <c r="N40" i="2"/>
  <c r="L98" s="1"/>
  <c r="M98" s="1"/>
  <c r="F45" i="4" s="1"/>
  <c r="N30" i="2"/>
  <c r="L88" s="1"/>
  <c r="M88" s="1"/>
  <c r="F94" i="4" s="1"/>
  <c r="G94" s="1"/>
  <c r="N18" i="2"/>
  <c r="L76" s="1"/>
  <c r="M76" s="1"/>
  <c r="F23" i="4" s="1"/>
  <c r="N16" i="2"/>
  <c r="L74" s="1"/>
  <c r="M74" s="1"/>
  <c r="F21" i="4" s="1"/>
  <c r="N15" i="2"/>
  <c r="L73" s="1"/>
  <c r="M73" s="1"/>
  <c r="F20" i="4" s="1"/>
  <c r="N49" i="2"/>
  <c r="L107" s="1"/>
  <c r="M107" s="1"/>
  <c r="F54" i="4" s="1"/>
  <c r="N55" i="2"/>
  <c r="L113" s="1"/>
  <c r="M113" s="1"/>
  <c r="F119" i="4" s="1"/>
  <c r="N5" i="2"/>
  <c r="L63" s="1"/>
  <c r="M63" s="1"/>
  <c r="F10" i="4" s="1"/>
  <c r="O33" i="2"/>
  <c r="E91" s="1"/>
  <c r="G91" s="1"/>
  <c r="E38" i="4" s="1"/>
  <c r="G38" s="1"/>
  <c r="O19" i="2"/>
  <c r="E77" s="1"/>
  <c r="G77" s="1"/>
  <c r="E24" i="4" s="1"/>
  <c r="O17" i="2"/>
  <c r="E75" s="1"/>
  <c r="G75" s="1"/>
  <c r="E81" i="4" s="1"/>
  <c r="O14" i="2"/>
  <c r="E72" s="1"/>
  <c r="G72" s="1"/>
  <c r="E19" i="4" s="1"/>
  <c r="O43" i="2"/>
  <c r="E101" s="1"/>
  <c r="G101" s="1"/>
  <c r="E48" i="4" s="1"/>
  <c r="M33" i="2"/>
  <c r="F91"/>
  <c r="M29"/>
  <c r="F87"/>
  <c r="M25"/>
  <c r="F83"/>
  <c r="O51"/>
  <c r="E109" s="1"/>
  <c r="G109" s="1"/>
  <c r="E56" i="4" s="1"/>
  <c r="G56" s="1"/>
  <c r="O37" i="2"/>
  <c r="E95" s="1"/>
  <c r="G95" s="1"/>
  <c r="E42" i="4" s="1"/>
  <c r="O31" i="2"/>
  <c r="E89" s="1"/>
  <c r="G89" s="1"/>
  <c r="E36" i="4" s="1"/>
  <c r="E120"/>
  <c r="E34"/>
  <c r="O58" i="2"/>
  <c r="E116" s="1"/>
  <c r="G116" s="1"/>
  <c r="E63" i="4" s="1"/>
  <c r="O42" i="2"/>
  <c r="E100" s="1"/>
  <c r="G100" s="1"/>
  <c r="E106" i="4" s="1"/>
  <c r="O38" i="2"/>
  <c r="E96" s="1"/>
  <c r="G96" s="1"/>
  <c r="E102" i="4" s="1"/>
  <c r="G102" s="1"/>
  <c r="I83"/>
  <c r="L83" s="1"/>
  <c r="I12"/>
  <c r="M47" i="2"/>
  <c r="F105"/>
  <c r="M36"/>
  <c r="O54"/>
  <c r="E112" s="1"/>
  <c r="G112" s="1"/>
  <c r="E118" i="4" s="1"/>
  <c r="N26" i="2"/>
  <c r="L84" s="1"/>
  <c r="M84" s="1"/>
  <c r="F90" i="4" s="1"/>
  <c r="I13"/>
  <c r="L13" s="1"/>
  <c r="M6" i="2"/>
  <c r="C9" i="3"/>
  <c r="M48" i="2"/>
  <c r="F106"/>
  <c r="O45"/>
  <c r="E103" s="1"/>
  <c r="G103" s="1"/>
  <c r="E109" i="4" s="1"/>
  <c r="M39" i="2"/>
  <c r="O39"/>
  <c r="E97" s="1"/>
  <c r="G97" s="1"/>
  <c r="E44" i="4" s="1"/>
  <c r="G44" s="1"/>
  <c r="F97" i="2"/>
  <c r="O52"/>
  <c r="E110" s="1"/>
  <c r="G110" s="1"/>
  <c r="E116" i="4" s="1"/>
  <c r="N45" i="2"/>
  <c r="L103" s="1"/>
  <c r="M103" s="1"/>
  <c r="F50" i="4" s="1"/>
  <c r="N43" i="2"/>
  <c r="L101" s="1"/>
  <c r="M101" s="1"/>
  <c r="F48" i="4" s="1"/>
  <c r="O35" i="2"/>
  <c r="E93" s="1"/>
  <c r="G93" s="1"/>
  <c r="E40" i="4" s="1"/>
  <c r="N20" i="2"/>
  <c r="L78" s="1"/>
  <c r="M78" s="1"/>
  <c r="F84" i="4" s="1"/>
  <c r="N53" i="2"/>
  <c r="L111" s="1"/>
  <c r="M111" s="1"/>
  <c r="F58" i="4" s="1"/>
  <c r="C14" i="3"/>
  <c r="F65" i="2"/>
  <c r="M8"/>
  <c r="N11"/>
  <c r="L69" s="1"/>
  <c r="M69" s="1"/>
  <c r="F16" i="4" s="1"/>
  <c r="O5" i="2"/>
  <c r="E63" s="1"/>
  <c r="G63" s="1"/>
  <c r="E10" i="4" s="1"/>
  <c r="M45" i="2"/>
  <c r="F103"/>
  <c r="M42"/>
  <c r="F100"/>
  <c r="M41"/>
  <c r="F99"/>
  <c r="M40"/>
  <c r="M22"/>
  <c r="N22"/>
  <c r="L80" s="1"/>
  <c r="M80" s="1"/>
  <c r="O55"/>
  <c r="E113" s="1"/>
  <c r="G113" s="1"/>
  <c r="E60" i="4" s="1"/>
  <c r="O53" i="2"/>
  <c r="E111" s="1"/>
  <c r="G111" s="1"/>
  <c r="E117" i="4" s="1"/>
  <c r="O50" i="2"/>
  <c r="E108" s="1"/>
  <c r="G108" s="1"/>
  <c r="E114" i="4" s="1"/>
  <c r="F52"/>
  <c r="F111"/>
  <c r="O46" i="2"/>
  <c r="E104" s="1"/>
  <c r="G104" s="1"/>
  <c r="E51" i="4" s="1"/>
  <c r="F51"/>
  <c r="O41" i="2"/>
  <c r="E99" s="1"/>
  <c r="G99" s="1"/>
  <c r="E105" i="4" s="1"/>
  <c r="O40" i="2"/>
  <c r="E98" s="1"/>
  <c r="G98" s="1"/>
  <c r="E104" i="4" s="1"/>
  <c r="F103"/>
  <c r="F100"/>
  <c r="F41"/>
  <c r="F97"/>
  <c r="O32" i="2"/>
  <c r="E90" s="1"/>
  <c r="G90" s="1"/>
  <c r="E37" i="4" s="1"/>
  <c r="E35"/>
  <c r="O28" i="2"/>
  <c r="E86" s="1"/>
  <c r="G86" s="1"/>
  <c r="E92" i="4" s="1"/>
  <c r="G92" s="1"/>
  <c r="F33"/>
  <c r="O25" i="2"/>
  <c r="E83" s="1"/>
  <c r="G83" s="1"/>
  <c r="E89" i="4" s="1"/>
  <c r="O22" i="2"/>
  <c r="E80" s="1"/>
  <c r="G80" s="1"/>
  <c r="E86" i="4" s="1"/>
  <c r="O21" i="2"/>
  <c r="E79" s="1"/>
  <c r="G79" s="1"/>
  <c r="E85" i="4" s="1"/>
  <c r="O18" i="2"/>
  <c r="E76" s="1"/>
  <c r="G76" s="1"/>
  <c r="E23" i="4" s="1"/>
  <c r="E80"/>
  <c r="E21"/>
  <c r="O11" i="2"/>
  <c r="E69" s="1"/>
  <c r="G69" s="1"/>
  <c r="E75" i="4" s="1"/>
  <c r="N9" i="2"/>
  <c r="L67" s="1"/>
  <c r="M67" s="1"/>
  <c r="F14" i="4" s="1"/>
  <c r="O9" i="2"/>
  <c r="E67" s="1"/>
  <c r="G67" s="1"/>
  <c r="E73" i="4" s="1"/>
  <c r="O7" i="2"/>
  <c r="E65" s="1"/>
  <c r="G65" s="1"/>
  <c r="E12" i="4" s="1"/>
  <c r="O6" i="2"/>
  <c r="E64" s="1"/>
  <c r="G64" s="1"/>
  <c r="E11" i="4" s="1"/>
  <c r="O10" i="2"/>
  <c r="E68" s="1"/>
  <c r="G68" s="1"/>
  <c r="E15" i="4" s="1"/>
  <c r="N8" i="2"/>
  <c r="L66" s="1"/>
  <c r="M66" s="1"/>
  <c r="F72" i="4" s="1"/>
  <c r="O12" i="2"/>
  <c r="E70" s="1"/>
  <c r="G70" s="1"/>
  <c r="E17" i="4" s="1"/>
  <c r="I94"/>
  <c r="L94" s="1"/>
  <c r="I72"/>
  <c r="L72" s="1"/>
  <c r="E41"/>
  <c r="E100"/>
  <c r="G100" s="1"/>
  <c r="E32"/>
  <c r="E91"/>
  <c r="O44" i="2"/>
  <c r="E102" s="1"/>
  <c r="G102" s="1"/>
  <c r="F37" i="4"/>
  <c r="F96"/>
  <c r="F49"/>
  <c r="F108"/>
  <c r="F35"/>
  <c r="F101"/>
  <c r="F42"/>
  <c r="E87"/>
  <c r="E28"/>
  <c r="E122"/>
  <c r="E62"/>
  <c r="G62" s="1"/>
  <c r="E121"/>
  <c r="O8" i="2"/>
  <c r="E66" s="1"/>
  <c r="G66" s="1"/>
  <c r="F18" i="4"/>
  <c r="F77"/>
  <c r="F39"/>
  <c r="F98"/>
  <c r="F87"/>
  <c r="F28"/>
  <c r="F24"/>
  <c r="F83"/>
  <c r="F19"/>
  <c r="F78"/>
  <c r="F85"/>
  <c r="F26"/>
  <c r="F114"/>
  <c r="F61"/>
  <c r="G61" s="1"/>
  <c r="F29"/>
  <c r="F88"/>
  <c r="F93"/>
  <c r="F34"/>
  <c r="N6" i="2"/>
  <c r="L64" s="1"/>
  <c r="M64" s="1"/>
  <c r="F11" i="4" s="1"/>
  <c r="N7" i="2"/>
  <c r="L65" s="1"/>
  <c r="M65" s="1"/>
  <c r="G93" i="4"/>
  <c r="F112"/>
  <c r="F53"/>
  <c r="F81"/>
  <c r="F22"/>
  <c r="F40"/>
  <c r="F99"/>
  <c r="F46"/>
  <c r="F105"/>
  <c r="F76"/>
  <c r="F17"/>
  <c r="F95"/>
  <c r="F36"/>
  <c r="F113"/>
  <c r="G113" s="1"/>
  <c r="F57"/>
  <c r="F116"/>
  <c r="F59"/>
  <c r="F118"/>
  <c r="F63"/>
  <c r="F122"/>
  <c r="F15"/>
  <c r="F74"/>
  <c r="F121"/>
  <c r="C58" i="3"/>
  <c r="C56"/>
  <c r="M46" i="2"/>
  <c r="M43"/>
  <c r="M38"/>
  <c r="M24"/>
  <c r="M18"/>
  <c r="G52" i="4" l="1"/>
  <c r="E111"/>
  <c r="G111" s="1"/>
  <c r="F32"/>
  <c r="G32" s="1"/>
  <c r="G91"/>
  <c r="J82" s="1"/>
  <c r="G120"/>
  <c r="F107"/>
  <c r="F106"/>
  <c r="G106" s="1"/>
  <c r="E43"/>
  <c r="G43" s="1"/>
  <c r="E29"/>
  <c r="G29" s="1"/>
  <c r="G36"/>
  <c r="G39"/>
  <c r="E98"/>
  <c r="G98" s="1"/>
  <c r="E82"/>
  <c r="E18"/>
  <c r="G18" s="1"/>
  <c r="E78"/>
  <c r="G19"/>
  <c r="F109"/>
  <c r="F75"/>
  <c r="G75" s="1"/>
  <c r="F30"/>
  <c r="F104"/>
  <c r="F69"/>
  <c r="E20"/>
  <c r="G20" s="1"/>
  <c r="F60"/>
  <c r="E101"/>
  <c r="G101" s="1"/>
  <c r="J87" s="1"/>
  <c r="E53"/>
  <c r="G53" s="1"/>
  <c r="J33" s="1"/>
  <c r="G40"/>
  <c r="G90"/>
  <c r="E22"/>
  <c r="G22" s="1"/>
  <c r="E25"/>
  <c r="E115"/>
  <c r="G115" s="1"/>
  <c r="E31"/>
  <c r="F25"/>
  <c r="G84"/>
  <c r="E83"/>
  <c r="G83" s="1"/>
  <c r="F82"/>
  <c r="G81"/>
  <c r="E107"/>
  <c r="G107" s="1"/>
  <c r="E54"/>
  <c r="G54" s="1"/>
  <c r="E99"/>
  <c r="G99" s="1"/>
  <c r="J86" s="1"/>
  <c r="F31"/>
  <c r="G23"/>
  <c r="F80"/>
  <c r="G80" s="1"/>
  <c r="F79"/>
  <c r="G79" s="1"/>
  <c r="G121"/>
  <c r="E97"/>
  <c r="G97" s="1"/>
  <c r="G122"/>
  <c r="G24"/>
  <c r="F13"/>
  <c r="G34"/>
  <c r="F117"/>
  <c r="G117" s="1"/>
  <c r="E50"/>
  <c r="G50" s="1"/>
  <c r="E47"/>
  <c r="G47" s="1"/>
  <c r="E46"/>
  <c r="G46" s="1"/>
  <c r="E45"/>
  <c r="G45" s="1"/>
  <c r="J29" s="1"/>
  <c r="G42"/>
  <c r="J28" s="1"/>
  <c r="M28" s="1"/>
  <c r="E95"/>
  <c r="G95" s="1"/>
  <c r="J26"/>
  <c r="G87"/>
  <c r="E27"/>
  <c r="G78"/>
  <c r="E103"/>
  <c r="G103" s="1"/>
  <c r="G28"/>
  <c r="G41"/>
  <c r="J27" s="1"/>
  <c r="E119"/>
  <c r="G119" s="1"/>
  <c r="J96" s="1"/>
  <c r="M96" s="1"/>
  <c r="E59"/>
  <c r="G59" s="1"/>
  <c r="G118"/>
  <c r="E26"/>
  <c r="G26" s="1"/>
  <c r="G21"/>
  <c r="F73"/>
  <c r="G73" s="1"/>
  <c r="E69"/>
  <c r="G69" s="1"/>
  <c r="G109"/>
  <c r="E57"/>
  <c r="G57" s="1"/>
  <c r="J35" s="1"/>
  <c r="G116"/>
  <c r="J94" s="1"/>
  <c r="E33"/>
  <c r="G33" s="1"/>
  <c r="E58"/>
  <c r="G58" s="1"/>
  <c r="E110"/>
  <c r="G110" s="1"/>
  <c r="E96"/>
  <c r="G96" s="1"/>
  <c r="J83"/>
  <c r="G35"/>
  <c r="J24" s="1"/>
  <c r="E30"/>
  <c r="G30" s="1"/>
  <c r="E14"/>
  <c r="G14" s="1"/>
  <c r="E71"/>
  <c r="G10"/>
  <c r="G51"/>
  <c r="G37"/>
  <c r="F27"/>
  <c r="F86"/>
  <c r="G86" s="1"/>
  <c r="G104"/>
  <c r="G60"/>
  <c r="J37" s="1"/>
  <c r="M37" s="1"/>
  <c r="E55"/>
  <c r="G55" s="1"/>
  <c r="G114"/>
  <c r="J93" s="1"/>
  <c r="G105"/>
  <c r="G89"/>
  <c r="G85"/>
  <c r="E76"/>
  <c r="G76" s="1"/>
  <c r="E16"/>
  <c r="G16" s="1"/>
  <c r="E74"/>
  <c r="G74" s="1"/>
  <c r="E70"/>
  <c r="G15"/>
  <c r="F70"/>
  <c r="G17"/>
  <c r="G63"/>
  <c r="G11"/>
  <c r="G112"/>
  <c r="G88"/>
  <c r="G77"/>
  <c r="E108"/>
  <c r="G108" s="1"/>
  <c r="E49"/>
  <c r="G49" s="1"/>
  <c r="E72"/>
  <c r="E13"/>
  <c r="G13" s="1"/>
  <c r="G72"/>
  <c r="F71"/>
  <c r="F12"/>
  <c r="G12" s="1"/>
  <c r="G48"/>
  <c r="J92" l="1"/>
  <c r="M92" s="1"/>
  <c r="J30"/>
  <c r="M30" s="1"/>
  <c r="J25"/>
  <c r="M25" s="1"/>
  <c r="J17"/>
  <c r="J23"/>
  <c r="J81"/>
  <c r="M93"/>
  <c r="M94"/>
  <c r="M33"/>
  <c r="J21"/>
  <c r="G27"/>
  <c r="J20" s="1"/>
  <c r="M20" s="1"/>
  <c r="G82"/>
  <c r="J77" s="1"/>
  <c r="J16"/>
  <c r="M35"/>
  <c r="M29"/>
  <c r="J89"/>
  <c r="M89" s="1"/>
  <c r="M87"/>
  <c r="M86"/>
  <c r="J85"/>
  <c r="M85" s="1"/>
  <c r="J18"/>
  <c r="J75"/>
  <c r="G25"/>
  <c r="J19" s="1"/>
  <c r="J91"/>
  <c r="M91" s="1"/>
  <c r="J90"/>
  <c r="M90" s="1"/>
  <c r="G31"/>
  <c r="J22" s="1"/>
  <c r="J78"/>
  <c r="J34"/>
  <c r="M34" s="1"/>
  <c r="J88"/>
  <c r="M88" s="1"/>
  <c r="J76"/>
  <c r="J95"/>
  <c r="M95" s="1"/>
  <c r="M26"/>
  <c r="J80"/>
  <c r="J84"/>
  <c r="M84" s="1"/>
  <c r="M27"/>
  <c r="J14"/>
  <c r="J36"/>
  <c r="M36" s="1"/>
  <c r="J32"/>
  <c r="M32" s="1"/>
  <c r="J73"/>
  <c r="G71"/>
  <c r="J72" s="1"/>
  <c r="J12"/>
  <c r="J15"/>
  <c r="J74"/>
  <c r="J79"/>
  <c r="M79" s="1"/>
  <c r="J31"/>
  <c r="M31" s="1"/>
  <c r="G70"/>
  <c r="J71" s="1"/>
  <c r="J13"/>
  <c r="M13" l="1"/>
  <c r="M15"/>
  <c r="M14"/>
  <c r="M22"/>
  <c r="M17"/>
  <c r="M23"/>
  <c r="M24"/>
  <c r="M76"/>
  <c r="M78"/>
  <c r="M19"/>
  <c r="M18"/>
  <c r="M77"/>
  <c r="M21"/>
  <c r="M16"/>
  <c r="M81"/>
  <c r="M82"/>
  <c r="M83"/>
  <c r="M80"/>
  <c r="M72"/>
  <c r="M73"/>
  <c r="M74"/>
  <c r="M75"/>
</calcChain>
</file>

<file path=xl/comments1.xml><?xml version="1.0" encoding="utf-8"?>
<comments xmlns="http://schemas.openxmlformats.org/spreadsheetml/2006/main">
  <authors>
    <author>Laboratorio</author>
  </authors>
  <commentList>
    <comment ref="A7" authorId="0">
      <text>
        <r>
          <rPr>
            <b/>
            <sz val="9"/>
            <color indexed="81"/>
            <rFont val="Tahoma"/>
            <family val="2"/>
          </rPr>
          <t>Laboratorio:</t>
        </r>
        <r>
          <rPr>
            <sz val="9"/>
            <color indexed="81"/>
            <rFont val="Tahoma"/>
            <family val="2"/>
          </rPr>
          <t xml:space="preserve">
Medido no zero delay do gate&amp;delay</t>
        </r>
      </text>
    </comment>
  </commentList>
</comments>
</file>

<file path=xl/sharedStrings.xml><?xml version="1.0" encoding="utf-8"?>
<sst xmlns="http://schemas.openxmlformats.org/spreadsheetml/2006/main" count="78" uniqueCount="68">
  <si>
    <t>Sem Feixe</t>
  </si>
  <si>
    <t>Fundo</t>
  </si>
  <si>
    <t>Medida</t>
  </si>
  <si>
    <t># i</t>
  </si>
  <si>
    <t>corrente</t>
  </si>
  <si>
    <t>counts</t>
  </si>
  <si>
    <t>Gás</t>
  </si>
  <si>
    <t>Data</t>
  </si>
  <si>
    <t>t (s)</t>
  </si>
  <si>
    <t>Corrente</t>
  </si>
  <si>
    <t>medida</t>
  </si>
  <si>
    <t>30s</t>
  </si>
  <si>
    <t>n da medida</t>
  </si>
  <si>
    <t>Count real</t>
  </si>
  <si>
    <t>p corrigida</t>
  </si>
  <si>
    <t>Correção da pressão</t>
  </si>
  <si>
    <t>Torr</t>
  </si>
  <si>
    <t>1 torr</t>
  </si>
  <si>
    <t>Pa</t>
  </si>
  <si>
    <t>kb</t>
  </si>
  <si>
    <t>J/K</t>
  </si>
  <si>
    <t>T</t>
  </si>
  <si>
    <t>K</t>
  </si>
  <si>
    <t>Correção da corrente</t>
  </si>
  <si>
    <t>carga ( C )</t>
  </si>
  <si>
    <t>1C</t>
  </si>
  <si>
    <t>Ne</t>
  </si>
  <si>
    <t>p_corrigida (Torr)</t>
  </si>
  <si>
    <t>n_total</t>
  </si>
  <si>
    <t>d</t>
  </si>
  <si>
    <t>áreas</t>
  </si>
  <si>
    <t>Operadores</t>
  </si>
  <si>
    <t>alfa</t>
  </si>
  <si>
    <t>fundo</t>
  </si>
  <si>
    <t>área</t>
  </si>
  <si>
    <t>Observações</t>
  </si>
  <si>
    <t>tempo(ns)</t>
  </si>
  <si>
    <t>u/u0</t>
  </si>
  <si>
    <t>s exp</t>
  </si>
  <si>
    <t>p_linha</t>
  </si>
  <si>
    <t>pi(mTorr)</t>
  </si>
  <si>
    <t>pf(mTorr)</t>
  </si>
  <si>
    <t>no osciloscópio</t>
  </si>
  <si>
    <t>MEDIDA CORRENTE</t>
  </si>
  <si>
    <t>MEDIDA PRESSÃO</t>
  </si>
  <si>
    <t>BARATRON (mTorr)</t>
  </si>
  <si>
    <t>x 10 ^ -6 Torr</t>
  </si>
  <si>
    <t>MEDIDA</t>
  </si>
  <si>
    <t>Escala .3</t>
  </si>
  <si>
    <t>Escala 1</t>
  </si>
  <si>
    <t>Counts-fundo/s</t>
  </si>
  <si>
    <t>i (A)</t>
  </si>
  <si>
    <t>alpha =</t>
  </si>
  <si>
    <t xml:space="preserve">alpha = </t>
  </si>
  <si>
    <t>pi_penning</t>
  </si>
  <si>
    <t>pf_penning</t>
  </si>
  <si>
    <t>fundo penning</t>
  </si>
  <si>
    <t>extra</t>
  </si>
  <si>
    <t>N+/N2+</t>
  </si>
  <si>
    <r>
      <t xml:space="preserve">Acompanhar pico de N2+, que só deve começar a cair DEPOIS de </t>
    </r>
    <r>
      <rPr>
        <b/>
        <sz val="14"/>
        <color indexed="17"/>
        <rFont val="Calibri"/>
        <family val="2"/>
      </rPr>
      <t>3000ns</t>
    </r>
  </si>
  <si>
    <t>para comparação o t(ns) medido deve ser acrecido de 400ns!!!!</t>
  </si>
  <si>
    <t>Keithley escala ,3</t>
  </si>
  <si>
    <t>O2</t>
  </si>
  <si>
    <t>O++</t>
  </si>
  <si>
    <t>O+</t>
  </si>
  <si>
    <t>O2+</t>
  </si>
  <si>
    <t>ruído "fantasma"</t>
  </si>
  <si>
    <t>Lucas^2</t>
  </si>
</sst>
</file>

<file path=xl/styles.xml><?xml version="1.0" encoding="utf-8"?>
<styleSheet xmlns="http://schemas.openxmlformats.org/spreadsheetml/2006/main">
  <numFmts count="2">
    <numFmt numFmtId="164" formatCode="0.000E+00"/>
    <numFmt numFmtId="165" formatCode="0.0"/>
  </numFmts>
  <fonts count="15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0"/>
      <name val="Calibri"/>
      <family val="2"/>
    </font>
    <font>
      <sz val="12"/>
      <name val="Calibri"/>
      <family val="2"/>
    </font>
    <font>
      <b/>
      <sz val="10"/>
      <name val="Calibri"/>
      <family val="2"/>
    </font>
    <font>
      <b/>
      <sz val="10"/>
      <color indexed="10"/>
      <name val="Calibri"/>
      <family val="2"/>
    </font>
    <font>
      <sz val="9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17"/>
      <name val="Calibri"/>
      <family val="2"/>
    </font>
    <font>
      <b/>
      <sz val="12"/>
      <color rgb="FF00B05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0" xfId="0" applyNumberFormat="1" applyFont="1" applyAlignment="1">
      <alignment horizontal="center"/>
    </xf>
    <xf numFmtId="11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11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0" fontId="3" fillId="0" borderId="0" xfId="0" applyFont="1" applyFill="1" applyAlignment="1">
      <alignment horizontal="center"/>
    </xf>
    <xf numFmtId="1" fontId="3" fillId="0" borderId="0" xfId="0" applyNumberFormat="1" applyFont="1"/>
    <xf numFmtId="11" fontId="3" fillId="0" borderId="0" xfId="0" applyNumberFormat="1" applyFont="1"/>
    <xf numFmtId="165" fontId="4" fillId="0" borderId="0" xfId="0" applyNumberFormat="1" applyFont="1" applyFill="1" applyBorder="1" applyAlignment="1">
      <alignment horizontal="center"/>
    </xf>
    <xf numFmtId="11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1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1" fontId="4" fillId="0" borderId="1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165" fontId="4" fillId="0" borderId="1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1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65" fontId="4" fillId="0" borderId="0" xfId="0" applyNumberFormat="1" applyFont="1" applyFill="1" applyAlignment="1">
      <alignment horizontal="center"/>
    </xf>
    <xf numFmtId="11" fontId="4" fillId="0" borderId="0" xfId="0" applyNumberFormat="1" applyFont="1" applyFill="1" applyAlignment="1">
      <alignment horizontal="center"/>
    </xf>
    <xf numFmtId="0" fontId="4" fillId="0" borderId="0" xfId="0" applyFont="1" applyBorder="1" applyAlignment="1">
      <alignment horizontal="center"/>
    </xf>
    <xf numFmtId="11" fontId="4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1" fontId="5" fillId="0" borderId="0" xfId="0" applyNumberFormat="1" applyFont="1" applyFill="1" applyAlignment="1">
      <alignment horizontal="center"/>
    </xf>
    <xf numFmtId="2" fontId="3" fillId="0" borderId="0" xfId="0" applyNumberFormat="1" applyFont="1"/>
    <xf numFmtId="11" fontId="5" fillId="0" borderId="1" xfId="0" applyNumberFormat="1" applyFont="1" applyFill="1" applyBorder="1" applyAlignment="1">
      <alignment horizontal="center"/>
    </xf>
    <xf numFmtId="0" fontId="3" fillId="0" borderId="0" xfId="0" applyFont="1" applyFill="1"/>
    <xf numFmtId="0" fontId="7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4" fillId="3" borderId="1" xfId="0" applyNumberFormat="1" applyFont="1" applyFill="1" applyBorder="1" applyAlignment="1">
      <alignment horizontal="center"/>
    </xf>
    <xf numFmtId="11" fontId="3" fillId="3" borderId="1" xfId="0" applyNumberFormat="1" applyFont="1" applyFill="1" applyBorder="1" applyAlignment="1">
      <alignment horizontal="center"/>
    </xf>
    <xf numFmtId="11" fontId="5" fillId="3" borderId="1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165" fontId="4" fillId="0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1" fontId="10" fillId="0" borderId="0" xfId="0" applyNumberFormat="1" applyFont="1" applyAlignment="1">
      <alignment horizontal="center"/>
    </xf>
    <xf numFmtId="0" fontId="0" fillId="0" borderId="6" xfId="0" applyFill="1" applyBorder="1" applyAlignment="1">
      <alignment horizontal="center"/>
    </xf>
    <xf numFmtId="0" fontId="14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1" fontId="4" fillId="4" borderId="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11" fontId="4" fillId="0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1" fontId="4" fillId="0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11" fontId="4" fillId="0" borderId="1" xfId="0" applyNumberFormat="1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1" fontId="4" fillId="0" borderId="8" xfId="0" applyNumberFormat="1" applyFont="1" applyFill="1" applyBorder="1" applyAlignment="1">
      <alignment horizontal="center"/>
    </xf>
    <xf numFmtId="165" fontId="4" fillId="4" borderId="8" xfId="0" applyNumberFormat="1" applyFont="1" applyFill="1" applyBorder="1" applyAlignment="1">
      <alignment horizontal="center"/>
    </xf>
    <xf numFmtId="2" fontId="4" fillId="0" borderId="8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11" fontId="4" fillId="0" borderId="1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11" fontId="4" fillId="5" borderId="8" xfId="0" applyNumberFormat="1" applyFont="1" applyFill="1" applyBorder="1" applyAlignment="1">
      <alignment horizontal="center"/>
    </xf>
    <xf numFmtId="165" fontId="4" fillId="5" borderId="8" xfId="0" applyNumberFormat="1" applyFont="1" applyFill="1" applyBorder="1" applyAlignment="1">
      <alignment horizontal="center"/>
    </xf>
    <xf numFmtId="2" fontId="4" fillId="5" borderId="8" xfId="0" applyNumberFormat="1" applyFont="1" applyFill="1" applyBorder="1" applyAlignment="1">
      <alignment horizontal="center"/>
    </xf>
    <xf numFmtId="0" fontId="5" fillId="0" borderId="8" xfId="0" applyNumberFormat="1" applyFont="1" applyFill="1" applyBorder="1" applyAlignment="1">
      <alignment horizontal="center"/>
    </xf>
    <xf numFmtId="1" fontId="5" fillId="0" borderId="8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11" fontId="4" fillId="0" borderId="3" xfId="0" applyNumberFormat="1" applyFont="1" applyFill="1" applyBorder="1" applyAlignment="1">
      <alignment horizontal="center"/>
    </xf>
    <xf numFmtId="11" fontId="4" fillId="0" borderId="7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1" fontId="4" fillId="0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plotArea>
      <c:layout>
        <c:manualLayout>
          <c:layoutTarget val="inner"/>
          <c:xMode val="edge"/>
          <c:yMode val="edge"/>
          <c:x val="0.17268062968225167"/>
          <c:y val="0.21238983940697531"/>
          <c:w val="0.72938236119518307"/>
          <c:h val="0.73893964960343583"/>
        </c:manualLayout>
      </c:layout>
      <c:scatterChart>
        <c:scatterStyle val="lineMarker"/>
        <c:ser>
          <c:idx val="0"/>
          <c:order val="0"/>
          <c:tx>
            <c:strRef>
              <c:f>input!$D$74</c:f>
              <c:strCache>
                <c:ptCount val="1"/>
                <c:pt idx="0">
                  <c:v>Counts-fundo/s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intercept val="0"/>
            <c:dispEq val="1"/>
            <c:trendlineLbl>
              <c:layout>
                <c:manualLayout>
                  <c:x val="-0.21435116065037324"/>
                  <c:y val="-1.7840922058655711E-2"/>
                </c:manualLayout>
              </c:layout>
              <c:numFmt formatCode="0.00E+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</c:trendlineLbl>
          </c:trendline>
          <c:xVal>
            <c:numRef>
              <c:f>input!$C$75:$C$79</c:f>
              <c:numCache>
                <c:formatCode>0.00E+00</c:formatCode>
                <c:ptCount val="5"/>
                <c:pt idx="0">
                  <c:v>2.3000000000000003E-12</c:v>
                </c:pt>
                <c:pt idx="1">
                  <c:v>1.85E-12</c:v>
                </c:pt>
                <c:pt idx="2">
                  <c:v>1.1599999999999999E-12</c:v>
                </c:pt>
                <c:pt idx="3">
                  <c:v>7.5999999999999999E-13</c:v>
                </c:pt>
                <c:pt idx="4">
                  <c:v>0</c:v>
                </c:pt>
              </c:numCache>
            </c:numRef>
          </c:xVal>
          <c:yVal>
            <c:numRef>
              <c:f>input!$D$75:$D$79</c:f>
              <c:numCache>
                <c:formatCode>0.00E+00</c:formatCode>
                <c:ptCount val="5"/>
                <c:pt idx="0">
                  <c:v>1733.4666666666667</c:v>
                </c:pt>
                <c:pt idx="1">
                  <c:v>1405.3</c:v>
                </c:pt>
                <c:pt idx="2">
                  <c:v>885.73333333333335</c:v>
                </c:pt>
                <c:pt idx="3">
                  <c:v>574.76666666666665</c:v>
                </c:pt>
                <c:pt idx="4">
                  <c:v>0</c:v>
                </c:pt>
              </c:numCache>
            </c:numRef>
          </c:yVal>
        </c:ser>
        <c:axId val="133075328"/>
        <c:axId val="133076864"/>
      </c:scatterChart>
      <c:valAx>
        <c:axId val="133075328"/>
        <c:scaling>
          <c:orientation val="minMax"/>
        </c:scaling>
        <c:axPos val="b"/>
        <c:numFmt formatCode="0.00E+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33076864"/>
        <c:crosses val="autoZero"/>
        <c:crossBetween val="midCat"/>
      </c:valAx>
      <c:valAx>
        <c:axId val="133076864"/>
        <c:scaling>
          <c:orientation val="minMax"/>
        </c:scaling>
        <c:axPos val="l"/>
        <c:majorGridlines/>
        <c:numFmt formatCode="0.00E+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33075328"/>
        <c:crosses val="autoZero"/>
        <c:crossBetween val="midCat"/>
      </c:valAx>
    </c:plotArea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0152" footer="0.3149606200000015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plotArea>
      <c:layout>
        <c:manualLayout>
          <c:layoutTarget val="inner"/>
          <c:xMode val="edge"/>
          <c:yMode val="edge"/>
          <c:x val="0.18478260869565216"/>
          <c:y val="0.19583413018444962"/>
          <c:w val="0.71195652173913049"/>
          <c:h val="0.68750279745604437"/>
        </c:manualLayout>
      </c:layout>
      <c:scatterChart>
        <c:scatterStyle val="lineMarker"/>
        <c:ser>
          <c:idx val="0"/>
          <c:order val="0"/>
          <c:tx>
            <c:strRef>
              <c:f>input!$H$74</c:f>
              <c:strCache>
                <c:ptCount val="1"/>
                <c:pt idx="0">
                  <c:v>Counts-fundo/s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intercept val="0"/>
            <c:dispEq val="1"/>
            <c:trendlineLbl>
              <c:layout>
                <c:manualLayout>
                  <c:x val="-0.30162662788170735"/>
                  <c:y val="-4.3350644999162392E-2"/>
                </c:manualLayout>
              </c:layout>
              <c:numFmt formatCode="0.00E+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</c:trendlineLbl>
          </c:trendline>
          <c:xVal>
            <c:numRef>
              <c:f>input!$G$75:$G$79</c:f>
              <c:numCache>
                <c:formatCode>0.00E+00</c:formatCode>
                <c:ptCount val="5"/>
                <c:pt idx="0">
                  <c:v>2.3400000000000001E-12</c:v>
                </c:pt>
                <c:pt idx="1">
                  <c:v>1.7400000000000003E-12</c:v>
                </c:pt>
                <c:pt idx="2">
                  <c:v>1.3800000000000002E-12</c:v>
                </c:pt>
                <c:pt idx="3">
                  <c:v>8.7999999999999999E-13</c:v>
                </c:pt>
                <c:pt idx="4">
                  <c:v>0</c:v>
                </c:pt>
              </c:numCache>
            </c:numRef>
          </c:xVal>
          <c:yVal>
            <c:numRef>
              <c:f>input!$H$75:$H$79</c:f>
              <c:numCache>
                <c:formatCode>0.00E+00</c:formatCode>
                <c:ptCount val="5"/>
                <c:pt idx="0">
                  <c:v>589.86666666666667</c:v>
                </c:pt>
                <c:pt idx="1">
                  <c:v>438.23333333333335</c:v>
                </c:pt>
                <c:pt idx="2">
                  <c:v>345.8</c:v>
                </c:pt>
                <c:pt idx="3">
                  <c:v>219.63333333333333</c:v>
                </c:pt>
                <c:pt idx="4">
                  <c:v>0</c:v>
                </c:pt>
              </c:numCache>
            </c:numRef>
          </c:yVal>
        </c:ser>
        <c:axId val="113482368"/>
        <c:axId val="113484160"/>
      </c:scatterChart>
      <c:valAx>
        <c:axId val="113482368"/>
        <c:scaling>
          <c:orientation val="minMax"/>
        </c:scaling>
        <c:axPos val="b"/>
        <c:numFmt formatCode="0.00E+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13484160"/>
        <c:crosses val="autoZero"/>
        <c:crossBetween val="midCat"/>
      </c:valAx>
      <c:valAx>
        <c:axId val="113484160"/>
        <c:scaling>
          <c:orientation val="minMax"/>
        </c:scaling>
        <c:axPos val="l"/>
        <c:majorGridlines/>
        <c:numFmt formatCode="0.00E+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13482368"/>
        <c:crosses val="autoZero"/>
        <c:crossBetween val="midCat"/>
      </c:valAx>
    </c:plotArea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0152" footer="0.3149606200000015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layout/>
    </c:title>
    <c:plotArea>
      <c:layout>
        <c:manualLayout>
          <c:layoutTarget val="inner"/>
          <c:xMode val="edge"/>
          <c:yMode val="edge"/>
          <c:x val="8.7794432548180493E-2"/>
          <c:y val="0.16438383652583971"/>
          <c:w val="0.72805139186295242"/>
          <c:h val="0.73630260110532342"/>
        </c:manualLayout>
      </c:layout>
      <c:scatterChart>
        <c:scatterStyle val="lineMarker"/>
        <c:ser>
          <c:idx val="0"/>
          <c:order val="0"/>
          <c:tx>
            <c:strRef>
              <c:f>Analise_tempo!$M$71</c:f>
              <c:strCache>
                <c:ptCount val="1"/>
                <c:pt idx="0">
                  <c:v>u/u0</c:v>
                </c:pt>
              </c:strCache>
            </c:strRef>
          </c:tx>
          <c:spPr>
            <a:ln w="28575">
              <a:noFill/>
            </a:ln>
          </c:spPr>
          <c:xVal>
            <c:numRef>
              <c:f>Analise_tempo!$L$72:$L$97</c:f>
              <c:numCache>
                <c:formatCode>0</c:formatCode>
                <c:ptCount val="26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800</c:v>
                </c:pt>
                <c:pt idx="7">
                  <c:v>0</c:v>
                </c:pt>
                <c:pt idx="8">
                  <c:v>1000</c:v>
                </c:pt>
                <c:pt idx="9">
                  <c:v>1250</c:v>
                </c:pt>
                <c:pt idx="10">
                  <c:v>1500</c:v>
                </c:pt>
                <c:pt idx="11">
                  <c:v>1750</c:v>
                </c:pt>
                <c:pt idx="12">
                  <c:v>2000</c:v>
                </c:pt>
                <c:pt idx="13">
                  <c:v>2250</c:v>
                </c:pt>
                <c:pt idx="14">
                  <c:v>2500</c:v>
                </c:pt>
                <c:pt idx="15">
                  <c:v>0</c:v>
                </c:pt>
                <c:pt idx="16">
                  <c:v>3000</c:v>
                </c:pt>
                <c:pt idx="17">
                  <c:v>3500</c:v>
                </c:pt>
                <c:pt idx="18">
                  <c:v>4000</c:v>
                </c:pt>
                <c:pt idx="19">
                  <c:v>4700</c:v>
                </c:pt>
                <c:pt idx="20">
                  <c:v>5400</c:v>
                </c:pt>
                <c:pt idx="21">
                  <c:v>6200</c:v>
                </c:pt>
                <c:pt idx="22">
                  <c:v>7000</c:v>
                </c:pt>
                <c:pt idx="23">
                  <c:v>8000</c:v>
                </c:pt>
                <c:pt idx="24">
                  <c:v>0</c:v>
                </c:pt>
              </c:numCache>
            </c:numRef>
          </c:xVal>
          <c:yVal>
            <c:numRef>
              <c:f>Analise_tempo!$M$72:$M$97</c:f>
              <c:numCache>
                <c:formatCode>0.00</c:formatCode>
                <c:ptCount val="26"/>
                <c:pt idx="0">
                  <c:v>0.99750399818137625</c:v>
                </c:pt>
                <c:pt idx="1">
                  <c:v>1.0039805426901585</c:v>
                </c:pt>
                <c:pt idx="2">
                  <c:v>1.0051987364286583</c:v>
                </c:pt>
                <c:pt idx="3">
                  <c:v>0.99481013267899443</c:v>
                </c:pt>
                <c:pt idx="4">
                  <c:v>1.0029410543395159</c:v>
                </c:pt>
                <c:pt idx="5">
                  <c:v>0.99999674545198347</c:v>
                </c:pt>
                <c:pt idx="6">
                  <c:v>0.99491662990354146</c:v>
                </c:pt>
                <c:pt idx="7">
                  <c:v>1</c:v>
                </c:pt>
                <c:pt idx="8">
                  <c:v>1.0000476409014736</c:v>
                </c:pt>
                <c:pt idx="9">
                  <c:v>1.0007741382980555</c:v>
                </c:pt>
                <c:pt idx="10">
                  <c:v>0.99952038928201614</c:v>
                </c:pt>
                <c:pt idx="11">
                  <c:v>0.99844354742164831</c:v>
                </c:pt>
                <c:pt idx="12">
                  <c:v>1.0042088960898914</c:v>
                </c:pt>
                <c:pt idx="13">
                  <c:v>0.99778850688869902</c:v>
                </c:pt>
                <c:pt idx="14">
                  <c:v>0.9999804014064424</c:v>
                </c:pt>
                <c:pt idx="15">
                  <c:v>1</c:v>
                </c:pt>
                <c:pt idx="16">
                  <c:v>0.99023732498945116</c:v>
                </c:pt>
                <c:pt idx="17">
                  <c:v>0.97440902444312438</c:v>
                </c:pt>
                <c:pt idx="18">
                  <c:v>0.95253040569145997</c:v>
                </c:pt>
                <c:pt idx="19">
                  <c:v>0.90689004969491227</c:v>
                </c:pt>
                <c:pt idx="20">
                  <c:v>0.85253488045390724</c:v>
                </c:pt>
                <c:pt idx="21">
                  <c:v>0.76605696694042846</c:v>
                </c:pt>
                <c:pt idx="22">
                  <c:v>0.69464768882325167</c:v>
                </c:pt>
                <c:pt idx="23">
                  <c:v>0.61992802331053176</c:v>
                </c:pt>
                <c:pt idx="24">
                  <c:v>1</c:v>
                </c:pt>
              </c:numCache>
            </c:numRef>
          </c:yVal>
        </c:ser>
        <c:axId val="111337856"/>
        <c:axId val="111339392"/>
      </c:scatterChart>
      <c:valAx>
        <c:axId val="111337856"/>
        <c:scaling>
          <c:orientation val="minMax"/>
        </c:scaling>
        <c:axPos val="b"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11339392"/>
        <c:crosses val="autoZero"/>
        <c:crossBetween val="midCat"/>
      </c:valAx>
      <c:valAx>
        <c:axId val="111339392"/>
        <c:scaling>
          <c:orientation val="minMax"/>
        </c:scaling>
        <c:axPos val="l"/>
        <c:majorGridlines/>
        <c:numFmt formatCode="0.00" sourceLinked="1"/>
        <c:tickLblPos val="nextTo"/>
        <c:crossAx val="1113378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8008565310492504"/>
          <c:y val="0.5239734789261139"/>
          <c:w val="0.10278372591006429"/>
          <c:h val="8.2191918262919814E-2"/>
        </c:manualLayout>
      </c:layout>
    </c:legend>
    <c:plotVisOnly val="1"/>
    <c:dispBlanksAs val="gap"/>
  </c:chart>
  <c:printSettings>
    <c:headerFooter/>
    <c:pageMargins b="0.78740157499999996" l="0.511811024" r="0.511811024" t="0.78740157499999996" header="0.31496062000000147" footer="0.3149606200000014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layout/>
    </c:title>
    <c:plotArea>
      <c:layout>
        <c:manualLayout>
          <c:layoutTarget val="inner"/>
          <c:xMode val="edge"/>
          <c:yMode val="edge"/>
          <c:x val="8.7982924807752133E-2"/>
          <c:y val="0.1638225255972697"/>
          <c:w val="0.72746857341043869"/>
          <c:h val="0.7337883959044369"/>
        </c:manualLayout>
      </c:layout>
      <c:scatterChart>
        <c:scatterStyle val="lineMarker"/>
        <c:ser>
          <c:idx val="0"/>
          <c:order val="0"/>
          <c:tx>
            <c:strRef>
              <c:f>Analise_tempo!$M$12</c:f>
              <c:strCache>
                <c:ptCount val="1"/>
                <c:pt idx="0">
                  <c:v>u/u0</c:v>
                </c:pt>
              </c:strCache>
            </c:strRef>
          </c:tx>
          <c:spPr>
            <a:ln w="28575">
              <a:noFill/>
            </a:ln>
          </c:spPr>
          <c:xVal>
            <c:numRef>
              <c:f>Analise_tempo!$L$13:$L$38</c:f>
              <c:numCache>
                <c:formatCode>0</c:formatCode>
                <c:ptCount val="26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800</c:v>
                </c:pt>
                <c:pt idx="7">
                  <c:v>0</c:v>
                </c:pt>
                <c:pt idx="8">
                  <c:v>1000</c:v>
                </c:pt>
                <c:pt idx="9">
                  <c:v>1250</c:v>
                </c:pt>
                <c:pt idx="10">
                  <c:v>1500</c:v>
                </c:pt>
                <c:pt idx="11">
                  <c:v>1750</c:v>
                </c:pt>
                <c:pt idx="12">
                  <c:v>2000</c:v>
                </c:pt>
                <c:pt idx="13">
                  <c:v>2250</c:v>
                </c:pt>
                <c:pt idx="14">
                  <c:v>2500</c:v>
                </c:pt>
                <c:pt idx="15">
                  <c:v>0</c:v>
                </c:pt>
                <c:pt idx="16">
                  <c:v>3000</c:v>
                </c:pt>
                <c:pt idx="17">
                  <c:v>3500</c:v>
                </c:pt>
                <c:pt idx="18">
                  <c:v>4000</c:v>
                </c:pt>
                <c:pt idx="19">
                  <c:v>4700</c:v>
                </c:pt>
                <c:pt idx="20">
                  <c:v>5400</c:v>
                </c:pt>
                <c:pt idx="21">
                  <c:v>6200</c:v>
                </c:pt>
                <c:pt idx="22">
                  <c:v>7000</c:v>
                </c:pt>
                <c:pt idx="23">
                  <c:v>8000</c:v>
                </c:pt>
                <c:pt idx="24">
                  <c:v>0</c:v>
                </c:pt>
              </c:numCache>
            </c:numRef>
          </c:xVal>
          <c:yVal>
            <c:numRef>
              <c:f>Analise_tempo!$M$13:$M$38</c:f>
              <c:numCache>
                <c:formatCode>0.00</c:formatCode>
                <c:ptCount val="26"/>
                <c:pt idx="0">
                  <c:v>0.90570865505980958</c:v>
                </c:pt>
                <c:pt idx="1">
                  <c:v>0.83930239833320841</c:v>
                </c:pt>
                <c:pt idx="2">
                  <c:v>0.77056705301014461</c:v>
                </c:pt>
                <c:pt idx="3">
                  <c:v>0.70498019648722454</c:v>
                </c:pt>
                <c:pt idx="4">
                  <c:v>0.65048460268786468</c:v>
                </c:pt>
                <c:pt idx="5">
                  <c:v>0.59909283168725824</c:v>
                </c:pt>
                <c:pt idx="6">
                  <c:v>0.50139231058793177</c:v>
                </c:pt>
                <c:pt idx="7">
                  <c:v>1</c:v>
                </c:pt>
                <c:pt idx="8">
                  <c:v>0.41998266405730411</c:v>
                </c:pt>
                <c:pt idx="9">
                  <c:v>0.34357858376095918</c:v>
                </c:pt>
                <c:pt idx="10">
                  <c:v>0.28917226261674733</c:v>
                </c:pt>
                <c:pt idx="11">
                  <c:v>0.24671506704270554</c:v>
                </c:pt>
                <c:pt idx="12">
                  <c:v>0.21317840266248891</c:v>
                </c:pt>
                <c:pt idx="13">
                  <c:v>0.18628271267101051</c:v>
                </c:pt>
                <c:pt idx="14">
                  <c:v>0.16882332362859187</c:v>
                </c:pt>
                <c:pt idx="15">
                  <c:v>1</c:v>
                </c:pt>
                <c:pt idx="16">
                  <c:v>0.13838721382791105</c:v>
                </c:pt>
                <c:pt idx="17">
                  <c:v>0.11513172105203504</c:v>
                </c:pt>
                <c:pt idx="18">
                  <c:v>0.10207397133013416</c:v>
                </c:pt>
                <c:pt idx="19">
                  <c:v>8.5535864629961891E-2</c:v>
                </c:pt>
                <c:pt idx="20">
                  <c:v>7.34246393786296E-2</c:v>
                </c:pt>
                <c:pt idx="21">
                  <c:v>5.7466364270336655E-2</c:v>
                </c:pt>
                <c:pt idx="22">
                  <c:v>4.6704548723889509E-2</c:v>
                </c:pt>
                <c:pt idx="23">
                  <c:v>3.6486278317199708E-2</c:v>
                </c:pt>
                <c:pt idx="24">
                  <c:v>1</c:v>
                </c:pt>
              </c:numCache>
            </c:numRef>
          </c:yVal>
        </c:ser>
        <c:axId val="111220224"/>
        <c:axId val="111221760"/>
      </c:scatterChart>
      <c:valAx>
        <c:axId val="111220224"/>
        <c:scaling>
          <c:orientation val="minMax"/>
        </c:scaling>
        <c:axPos val="b"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11221760"/>
        <c:crosses val="autoZero"/>
        <c:crossBetween val="midCat"/>
      </c:valAx>
      <c:valAx>
        <c:axId val="111221760"/>
        <c:scaling>
          <c:orientation val="minMax"/>
        </c:scaling>
        <c:axPos val="l"/>
        <c:majorGridlines/>
        <c:numFmt formatCode="0.00" sourceLinked="1"/>
        <c:tickLblPos val="nextTo"/>
        <c:crossAx val="1112202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7982924807752438"/>
          <c:y val="0.51877133105802065"/>
          <c:w val="0.10300439977492939"/>
          <c:h val="8.1911262798634865E-2"/>
        </c:manualLayout>
      </c:layout>
    </c:legend>
    <c:plotVisOnly val="1"/>
    <c:dispBlanksAs val="gap"/>
  </c:chart>
  <c:printSettings>
    <c:headerFooter/>
    <c:pageMargins b="0.78740157499999996" l="0.511811024" r="0.511811024" t="0.78740157499999996" header="0.31496062000000147" footer="0.31496062000000147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83</xdr:row>
      <xdr:rowOff>57150</xdr:rowOff>
    </xdr:from>
    <xdr:to>
      <xdr:col>6</xdr:col>
      <xdr:colOff>409575</xdr:colOff>
      <xdr:row>96</xdr:row>
      <xdr:rowOff>104775</xdr:rowOff>
    </xdr:to>
    <xdr:graphicFrame macro="">
      <xdr:nvGraphicFramePr>
        <xdr:cNvPr id="1150086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238125</xdr:colOff>
      <xdr:row>82</xdr:row>
      <xdr:rowOff>114300</xdr:rowOff>
    </xdr:from>
    <xdr:to>
      <xdr:col>12</xdr:col>
      <xdr:colOff>390525</xdr:colOff>
      <xdr:row>96</xdr:row>
      <xdr:rowOff>133350</xdr:rowOff>
    </xdr:to>
    <xdr:graphicFrame macro="">
      <xdr:nvGraphicFramePr>
        <xdr:cNvPr id="1150087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266700</xdr:colOff>
      <xdr:row>67</xdr:row>
      <xdr:rowOff>142875</xdr:rowOff>
    </xdr:from>
    <xdr:to>
      <xdr:col>20</xdr:col>
      <xdr:colOff>85725</xdr:colOff>
      <xdr:row>81</xdr:row>
      <xdr:rowOff>123825</xdr:rowOff>
    </xdr:to>
    <xdr:graphicFrame macro="">
      <xdr:nvGraphicFramePr>
        <xdr:cNvPr id="121920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58270</xdr:colOff>
      <xdr:row>5</xdr:row>
      <xdr:rowOff>62753</xdr:rowOff>
    </xdr:from>
    <xdr:to>
      <xdr:col>21</xdr:col>
      <xdr:colOff>477370</xdr:colOff>
      <xdr:row>19</xdr:row>
      <xdr:rowOff>72278</xdr:rowOff>
    </xdr:to>
    <xdr:graphicFrame macro="">
      <xdr:nvGraphicFramePr>
        <xdr:cNvPr id="121921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topLeftCell="A10" zoomScale="80" zoomScaleNormal="80" workbookViewId="0">
      <selection activeCell="I59" sqref="I59"/>
    </sheetView>
  </sheetViews>
  <sheetFormatPr defaultColWidth="9" defaultRowHeight="12.75"/>
  <cols>
    <col min="1" max="1" width="13.85546875" style="24" bestFit="1" customWidth="1"/>
    <col min="2" max="2" width="9.85546875" style="24" bestFit="1" customWidth="1"/>
    <col min="3" max="3" width="8.5703125" style="24" bestFit="1" customWidth="1"/>
    <col min="4" max="4" width="14.28515625" style="24" bestFit="1" customWidth="1"/>
    <col min="5" max="5" width="11.28515625" style="43" bestFit="1" customWidth="1"/>
    <col min="6" max="6" width="15.140625" style="24" bestFit="1" customWidth="1"/>
    <col min="7" max="7" width="11.7109375" style="24" customWidth="1"/>
    <col min="8" max="8" width="14.28515625" style="24" bestFit="1" customWidth="1"/>
    <col min="9" max="9" width="8.85546875" style="24" bestFit="1" customWidth="1"/>
    <col min="10" max="10" width="6" style="24" bestFit="1" customWidth="1"/>
    <col min="11" max="12" width="10.5703125" style="24" bestFit="1" customWidth="1"/>
    <col min="13" max="13" width="13.140625" style="24" bestFit="1" customWidth="1"/>
    <col min="14" max="14" width="8.85546875" style="24" bestFit="1" customWidth="1"/>
    <col min="15" max="15" width="40.5703125" style="88" bestFit="1" customWidth="1"/>
    <col min="16" max="16" width="17.28515625" style="24" bestFit="1" customWidth="1"/>
    <col min="17" max="17" width="8.5703125" style="24" bestFit="1" customWidth="1"/>
    <col min="18" max="19" width="9.140625" style="24" customWidth="1"/>
    <col min="20" max="21" width="9" style="24" customWidth="1"/>
    <col min="22" max="22" width="13.28515625" style="24" customWidth="1"/>
    <col min="23" max="16384" width="9" style="24"/>
  </cols>
  <sheetData>
    <row r="1" spans="1:16" ht="18.75" customHeight="1">
      <c r="M1" s="115" t="s">
        <v>59</v>
      </c>
      <c r="N1" s="115"/>
      <c r="O1" s="115"/>
      <c r="P1" s="115"/>
    </row>
    <row r="2" spans="1:16" ht="15" customHeight="1">
      <c r="C2" s="25"/>
      <c r="E2" s="43" t="s">
        <v>7</v>
      </c>
      <c r="F2" s="25">
        <v>41220</v>
      </c>
      <c r="M2" s="116" t="s">
        <v>60</v>
      </c>
      <c r="N2" s="116"/>
      <c r="O2" s="116"/>
      <c r="P2" s="116"/>
    </row>
    <row r="3" spans="1:16">
      <c r="E3" s="43" t="s">
        <v>6</v>
      </c>
      <c r="F3" s="91" t="s">
        <v>62</v>
      </c>
      <c r="H3" s="24" t="s">
        <v>61</v>
      </c>
      <c r="O3" s="87"/>
    </row>
    <row r="4" spans="1:16">
      <c r="E4" s="43" t="s">
        <v>31</v>
      </c>
      <c r="F4" s="106" t="s">
        <v>67</v>
      </c>
    </row>
    <row r="6" spans="1:16">
      <c r="B6" s="29"/>
      <c r="C6" s="29"/>
      <c r="D6" s="29"/>
      <c r="E6" s="37"/>
      <c r="F6" s="117" t="s">
        <v>43</v>
      </c>
      <c r="G6" s="117"/>
      <c r="H6" s="117" t="s">
        <v>44</v>
      </c>
      <c r="I6" s="117"/>
      <c r="J6" s="117"/>
      <c r="K6" s="117"/>
      <c r="L6" s="117"/>
      <c r="M6" s="117"/>
      <c r="N6" s="68"/>
      <c r="O6" s="68"/>
    </row>
    <row r="7" spans="1:16" ht="15">
      <c r="A7" s="59" t="s">
        <v>42</v>
      </c>
      <c r="B7" s="22"/>
      <c r="C7" s="22"/>
      <c r="D7" s="117" t="s">
        <v>0</v>
      </c>
      <c r="E7" s="117"/>
      <c r="F7" s="69"/>
      <c r="G7" s="70"/>
      <c r="H7" s="118" t="s">
        <v>45</v>
      </c>
      <c r="I7" s="118"/>
      <c r="J7" s="118"/>
      <c r="K7" s="119" t="s">
        <v>46</v>
      </c>
      <c r="L7" s="120"/>
      <c r="M7" s="121"/>
      <c r="N7" s="75" t="s">
        <v>57</v>
      </c>
      <c r="O7" s="71" t="s">
        <v>35</v>
      </c>
    </row>
    <row r="8" spans="1:16">
      <c r="B8" s="3" t="s">
        <v>36</v>
      </c>
      <c r="C8" s="3" t="s">
        <v>10</v>
      </c>
      <c r="D8" s="3" t="s">
        <v>8</v>
      </c>
      <c r="E8" s="26" t="s">
        <v>3</v>
      </c>
      <c r="F8" s="3" t="s">
        <v>8</v>
      </c>
      <c r="G8" s="3" t="s">
        <v>3</v>
      </c>
      <c r="H8" s="23" t="s">
        <v>40</v>
      </c>
      <c r="I8" s="32" t="s">
        <v>41</v>
      </c>
      <c r="J8" s="32" t="s">
        <v>33</v>
      </c>
      <c r="K8" s="72" t="s">
        <v>54</v>
      </c>
      <c r="L8" s="72" t="s">
        <v>55</v>
      </c>
      <c r="M8" s="32" t="s">
        <v>56</v>
      </c>
      <c r="N8" s="32" t="s">
        <v>39</v>
      </c>
      <c r="O8" s="89"/>
    </row>
    <row r="9" spans="1:16">
      <c r="A9" s="24">
        <f>B9+600</f>
        <v>600</v>
      </c>
      <c r="B9" s="80">
        <v>0</v>
      </c>
      <c r="C9" s="80">
        <v>1</v>
      </c>
      <c r="D9" s="80">
        <v>20</v>
      </c>
      <c r="E9" s="81">
        <v>8359</v>
      </c>
      <c r="F9" s="82">
        <v>200</v>
      </c>
      <c r="G9" s="81">
        <v>268328</v>
      </c>
      <c r="H9" s="83">
        <v>1.48</v>
      </c>
      <c r="I9" s="83">
        <v>1.48</v>
      </c>
      <c r="J9" s="83">
        <v>1.1599999999999999</v>
      </c>
      <c r="K9" s="83">
        <v>1.42</v>
      </c>
      <c r="L9" s="83">
        <v>1.43</v>
      </c>
      <c r="M9" s="83">
        <v>0.76</v>
      </c>
      <c r="N9" s="83">
        <v>269</v>
      </c>
      <c r="O9" s="80"/>
    </row>
    <row r="10" spans="1:16">
      <c r="A10" s="85">
        <f t="shared" ref="A10:A62" si="0">B10+600</f>
        <v>600</v>
      </c>
      <c r="B10" s="80">
        <v>0</v>
      </c>
      <c r="C10" s="80">
        <v>2</v>
      </c>
      <c r="D10" s="80">
        <v>20</v>
      </c>
      <c r="E10" s="81">
        <v>8380</v>
      </c>
      <c r="F10" s="82">
        <v>200</v>
      </c>
      <c r="G10" s="81">
        <v>339451</v>
      </c>
      <c r="H10" s="83">
        <v>1.48</v>
      </c>
      <c r="I10" s="83">
        <v>1.48</v>
      </c>
      <c r="J10" s="83">
        <v>1.1599999999999999</v>
      </c>
      <c r="K10" s="83">
        <v>1.44</v>
      </c>
      <c r="L10" s="83">
        <v>1.44</v>
      </c>
      <c r="M10" s="83">
        <v>0.76</v>
      </c>
      <c r="N10" s="83">
        <v>273</v>
      </c>
      <c r="O10" s="80"/>
    </row>
    <row r="11" spans="1:16">
      <c r="A11" s="85">
        <f t="shared" si="0"/>
        <v>700</v>
      </c>
      <c r="B11" s="22">
        <v>100</v>
      </c>
      <c r="C11" s="22">
        <v>3</v>
      </c>
      <c r="D11" s="80">
        <v>20</v>
      </c>
      <c r="E11" s="21">
        <v>8132</v>
      </c>
      <c r="F11" s="82">
        <v>200</v>
      </c>
      <c r="G11" s="21">
        <v>244483</v>
      </c>
      <c r="H11" s="30">
        <v>1.49</v>
      </c>
      <c r="I11" s="30">
        <v>1.49</v>
      </c>
      <c r="J11" s="83">
        <v>1.1599999999999999</v>
      </c>
      <c r="K11" s="30">
        <v>1.44</v>
      </c>
      <c r="L11" s="30">
        <v>1.45</v>
      </c>
      <c r="M11" s="83">
        <v>0.76</v>
      </c>
      <c r="N11" s="30">
        <v>275</v>
      </c>
      <c r="O11" s="89"/>
    </row>
    <row r="12" spans="1:16">
      <c r="A12" s="85">
        <f t="shared" si="0"/>
        <v>700</v>
      </c>
      <c r="B12" s="22">
        <v>100</v>
      </c>
      <c r="C12" s="22">
        <v>4</v>
      </c>
      <c r="D12" s="80">
        <v>20</v>
      </c>
      <c r="E12" s="21">
        <v>8118</v>
      </c>
      <c r="F12" s="82">
        <v>200</v>
      </c>
      <c r="G12" s="21">
        <v>271876</v>
      </c>
      <c r="H12" s="30">
        <v>1.49</v>
      </c>
      <c r="I12" s="30">
        <v>1.49</v>
      </c>
      <c r="J12" s="83">
        <v>1.1599999999999999</v>
      </c>
      <c r="K12" s="30">
        <v>1.45</v>
      </c>
      <c r="L12" s="30">
        <v>1.45</v>
      </c>
      <c r="M12" s="83">
        <v>0.76</v>
      </c>
      <c r="N12" s="30">
        <v>276</v>
      </c>
      <c r="O12" s="89"/>
    </row>
    <row r="13" spans="1:16">
      <c r="A13" s="85">
        <f t="shared" si="0"/>
        <v>800</v>
      </c>
      <c r="B13" s="101">
        <v>200</v>
      </c>
      <c r="C13" s="101">
        <v>5</v>
      </c>
      <c r="D13" s="101">
        <v>20</v>
      </c>
      <c r="E13" s="102">
        <v>8135</v>
      </c>
      <c r="F13" s="103">
        <v>200</v>
      </c>
      <c r="G13" s="102">
        <v>307177</v>
      </c>
      <c r="H13" s="104">
        <v>1.49</v>
      </c>
      <c r="I13" s="104">
        <v>1.49</v>
      </c>
      <c r="J13" s="83">
        <v>1.1599999999999999</v>
      </c>
      <c r="K13" s="104">
        <v>1.45</v>
      </c>
      <c r="L13" s="104">
        <v>1.46</v>
      </c>
      <c r="M13" s="83">
        <v>0.76</v>
      </c>
      <c r="N13" s="104">
        <v>276</v>
      </c>
      <c r="O13" s="101"/>
    </row>
    <row r="14" spans="1:16">
      <c r="A14" s="85">
        <f t="shared" si="0"/>
        <v>800</v>
      </c>
      <c r="B14" s="101">
        <v>200</v>
      </c>
      <c r="C14" s="101">
        <v>6</v>
      </c>
      <c r="D14" s="101">
        <v>20</v>
      </c>
      <c r="E14" s="102">
        <v>8171</v>
      </c>
      <c r="F14" s="103">
        <v>200</v>
      </c>
      <c r="G14" s="102">
        <v>253503</v>
      </c>
      <c r="H14" s="104">
        <v>1.49</v>
      </c>
      <c r="I14" s="104">
        <v>1.49</v>
      </c>
      <c r="J14" s="83">
        <v>1.1599999999999999</v>
      </c>
      <c r="K14" s="104">
        <v>1.46</v>
      </c>
      <c r="L14" s="104">
        <v>1.46</v>
      </c>
      <c r="M14" s="83">
        <v>0.76</v>
      </c>
      <c r="N14" s="104">
        <v>274</v>
      </c>
      <c r="O14" s="101" t="s">
        <v>66</v>
      </c>
    </row>
    <row r="15" spans="1:16">
      <c r="A15" s="85">
        <f t="shared" si="0"/>
        <v>900</v>
      </c>
      <c r="B15" s="22">
        <v>300</v>
      </c>
      <c r="C15" s="22">
        <v>7</v>
      </c>
      <c r="D15" s="80">
        <v>20</v>
      </c>
      <c r="E15" s="21">
        <v>8119</v>
      </c>
      <c r="F15" s="82">
        <v>200</v>
      </c>
      <c r="G15" s="21">
        <v>250327</v>
      </c>
      <c r="H15" s="30">
        <v>1.49</v>
      </c>
      <c r="I15" s="30">
        <v>1.49</v>
      </c>
      <c r="J15" s="83">
        <v>1.1599999999999999</v>
      </c>
      <c r="K15" s="30">
        <v>1.46</v>
      </c>
      <c r="L15" s="30">
        <v>1.46</v>
      </c>
      <c r="M15" s="83">
        <v>0.76</v>
      </c>
      <c r="N15" s="30">
        <v>276</v>
      </c>
      <c r="O15" s="89"/>
    </row>
    <row r="16" spans="1:16">
      <c r="A16" s="85">
        <f t="shared" si="0"/>
        <v>900</v>
      </c>
      <c r="B16" s="22">
        <v>300</v>
      </c>
      <c r="C16" s="22">
        <v>8</v>
      </c>
      <c r="D16" s="80">
        <v>20</v>
      </c>
      <c r="E16" s="21">
        <v>8135</v>
      </c>
      <c r="F16" s="82">
        <v>200</v>
      </c>
      <c r="G16" s="21">
        <v>254408</v>
      </c>
      <c r="H16" s="30">
        <v>1.49</v>
      </c>
      <c r="I16" s="30">
        <v>1.49</v>
      </c>
      <c r="J16" s="83">
        <v>1.1599999999999999</v>
      </c>
      <c r="K16" s="30">
        <v>1.47</v>
      </c>
      <c r="L16" s="30">
        <v>1.47</v>
      </c>
      <c r="M16" s="83">
        <v>0.76</v>
      </c>
      <c r="N16" s="30">
        <v>277</v>
      </c>
      <c r="O16" s="89"/>
    </row>
    <row r="17" spans="1:15">
      <c r="A17" s="85">
        <f t="shared" si="0"/>
        <v>1000</v>
      </c>
      <c r="B17" s="101">
        <v>400</v>
      </c>
      <c r="C17" s="101">
        <v>9</v>
      </c>
      <c r="D17" s="101">
        <v>20</v>
      </c>
      <c r="E17" s="102">
        <v>8115</v>
      </c>
      <c r="F17" s="103">
        <v>200</v>
      </c>
      <c r="G17" s="102">
        <v>264086</v>
      </c>
      <c r="H17" s="104">
        <v>1.49</v>
      </c>
      <c r="I17" s="104">
        <v>1.49</v>
      </c>
      <c r="J17" s="83">
        <v>1.1599999999999999</v>
      </c>
      <c r="K17" s="104">
        <v>1.47</v>
      </c>
      <c r="L17" s="104">
        <v>1.47</v>
      </c>
      <c r="M17" s="83">
        <v>0.76</v>
      </c>
      <c r="N17" s="104">
        <v>279</v>
      </c>
      <c r="O17" s="101"/>
    </row>
    <row r="18" spans="1:15">
      <c r="A18" s="85">
        <f t="shared" si="0"/>
        <v>1000</v>
      </c>
      <c r="B18" s="101">
        <v>400</v>
      </c>
      <c r="C18" s="101">
        <v>10</v>
      </c>
      <c r="D18" s="101">
        <v>20</v>
      </c>
      <c r="E18" s="102">
        <v>8262</v>
      </c>
      <c r="F18" s="103">
        <v>200</v>
      </c>
      <c r="G18" s="102">
        <v>255708</v>
      </c>
      <c r="H18" s="104">
        <v>1.49</v>
      </c>
      <c r="I18" s="104">
        <v>1.49</v>
      </c>
      <c r="J18" s="83">
        <v>1.1599999999999999</v>
      </c>
      <c r="K18" s="104">
        <v>1.48</v>
      </c>
      <c r="L18" s="104">
        <v>1.48</v>
      </c>
      <c r="M18" s="83">
        <v>0.76</v>
      </c>
      <c r="N18" s="104">
        <v>280</v>
      </c>
      <c r="O18" s="101"/>
    </row>
    <row r="19" spans="1:15">
      <c r="A19" s="85">
        <f t="shared" si="0"/>
        <v>1100</v>
      </c>
      <c r="B19" s="22">
        <v>500</v>
      </c>
      <c r="C19" s="22">
        <v>11</v>
      </c>
      <c r="D19" s="80">
        <v>20</v>
      </c>
      <c r="E19" s="21">
        <v>8350</v>
      </c>
      <c r="F19" s="82">
        <v>200</v>
      </c>
      <c r="G19" s="21">
        <v>278293</v>
      </c>
      <c r="H19" s="30">
        <v>1.48</v>
      </c>
      <c r="I19" s="30">
        <v>1.48</v>
      </c>
      <c r="J19" s="83">
        <v>1.1599999999999999</v>
      </c>
      <c r="K19" s="30">
        <v>1.48</v>
      </c>
      <c r="L19" s="30">
        <v>1.48</v>
      </c>
      <c r="M19" s="83">
        <v>0.76</v>
      </c>
      <c r="N19" s="30">
        <v>281</v>
      </c>
      <c r="O19" s="107"/>
    </row>
    <row r="20" spans="1:15">
      <c r="A20" s="85">
        <f t="shared" si="0"/>
        <v>1100</v>
      </c>
      <c r="B20" s="22">
        <v>500</v>
      </c>
      <c r="C20" s="22">
        <v>12</v>
      </c>
      <c r="D20" s="80">
        <v>20</v>
      </c>
      <c r="E20" s="21">
        <v>8269</v>
      </c>
      <c r="F20" s="82">
        <v>200</v>
      </c>
      <c r="G20" s="21">
        <v>274263</v>
      </c>
      <c r="H20" s="30">
        <v>1.48</v>
      </c>
      <c r="I20" s="30">
        <v>1.48</v>
      </c>
      <c r="J20" s="83">
        <v>1.1599999999999999</v>
      </c>
      <c r="K20" s="30">
        <v>1.5</v>
      </c>
      <c r="L20" s="30">
        <v>1.5</v>
      </c>
      <c r="M20" s="83">
        <v>0.76</v>
      </c>
      <c r="N20" s="30">
        <v>282</v>
      </c>
      <c r="O20" s="107"/>
    </row>
    <row r="21" spans="1:15">
      <c r="A21" s="85">
        <f t="shared" si="0"/>
        <v>1200</v>
      </c>
      <c r="B21" s="101">
        <v>600</v>
      </c>
      <c r="C21" s="101">
        <v>13</v>
      </c>
      <c r="D21" s="101">
        <v>20</v>
      </c>
      <c r="E21" s="102">
        <v>8323</v>
      </c>
      <c r="F21" s="103">
        <v>200</v>
      </c>
      <c r="G21" s="102">
        <v>305036</v>
      </c>
      <c r="H21" s="104">
        <v>1.48</v>
      </c>
      <c r="I21" s="104">
        <v>1.48</v>
      </c>
      <c r="J21" s="83">
        <v>1.1599999999999999</v>
      </c>
      <c r="K21" s="104">
        <v>1.5</v>
      </c>
      <c r="L21" s="104">
        <v>1.5</v>
      </c>
      <c r="M21" s="83">
        <v>0.76</v>
      </c>
      <c r="N21" s="104">
        <v>283</v>
      </c>
      <c r="O21" s="101"/>
    </row>
    <row r="22" spans="1:15">
      <c r="A22" s="85">
        <f t="shared" si="0"/>
        <v>1200</v>
      </c>
      <c r="B22" s="101">
        <v>600</v>
      </c>
      <c r="C22" s="101">
        <v>14</v>
      </c>
      <c r="D22" s="101">
        <v>20</v>
      </c>
      <c r="E22" s="102">
        <v>8311</v>
      </c>
      <c r="F22" s="103">
        <v>200</v>
      </c>
      <c r="G22" s="102">
        <v>315832</v>
      </c>
      <c r="H22" s="104">
        <v>1.48</v>
      </c>
      <c r="I22" s="104">
        <v>1.48</v>
      </c>
      <c r="J22" s="83">
        <v>1.1599999999999999</v>
      </c>
      <c r="K22" s="104">
        <v>1.5</v>
      </c>
      <c r="L22" s="104">
        <v>1.5</v>
      </c>
      <c r="M22" s="83">
        <v>0.76</v>
      </c>
      <c r="N22" s="104">
        <v>283</v>
      </c>
      <c r="O22" s="101"/>
    </row>
    <row r="23" spans="1:15">
      <c r="A23" s="85">
        <f t="shared" si="0"/>
        <v>1400</v>
      </c>
      <c r="B23" s="22">
        <v>800</v>
      </c>
      <c r="C23" s="22">
        <v>15</v>
      </c>
      <c r="D23" s="80">
        <v>20</v>
      </c>
      <c r="E23" s="21">
        <v>8336</v>
      </c>
      <c r="F23" s="82">
        <v>200</v>
      </c>
      <c r="G23" s="21">
        <v>334516</v>
      </c>
      <c r="H23" s="30">
        <v>1.48</v>
      </c>
      <c r="I23" s="30">
        <v>1.47</v>
      </c>
      <c r="J23" s="83">
        <v>1.1599999999999999</v>
      </c>
      <c r="K23" s="30">
        <v>1.5</v>
      </c>
      <c r="L23" s="30">
        <v>1.5</v>
      </c>
      <c r="M23" s="83">
        <v>0.76</v>
      </c>
      <c r="N23" s="30">
        <v>284</v>
      </c>
      <c r="O23" s="89"/>
    </row>
    <row r="24" spans="1:15">
      <c r="A24" s="85">
        <f t="shared" si="0"/>
        <v>1400</v>
      </c>
      <c r="B24" s="22">
        <v>800</v>
      </c>
      <c r="C24" s="22">
        <v>16</v>
      </c>
      <c r="D24" s="80">
        <v>20</v>
      </c>
      <c r="E24" s="21">
        <v>8286</v>
      </c>
      <c r="F24" s="82">
        <v>200</v>
      </c>
      <c r="G24" s="21">
        <v>294219</v>
      </c>
      <c r="H24" s="30">
        <v>1.47</v>
      </c>
      <c r="I24" s="30">
        <v>1.48</v>
      </c>
      <c r="J24" s="83">
        <v>1.1599999999999999</v>
      </c>
      <c r="K24" s="30">
        <v>1.5</v>
      </c>
      <c r="L24" s="30">
        <v>1.5</v>
      </c>
      <c r="M24" s="83">
        <v>0.76</v>
      </c>
      <c r="N24" s="30">
        <v>285</v>
      </c>
      <c r="O24" s="99"/>
    </row>
    <row r="25" spans="1:15">
      <c r="A25" s="85">
        <f t="shared" si="0"/>
        <v>600</v>
      </c>
      <c r="B25" s="80">
        <v>0</v>
      </c>
      <c r="C25" s="80">
        <v>17</v>
      </c>
      <c r="D25" s="80">
        <v>20</v>
      </c>
      <c r="E25" s="81">
        <v>8322</v>
      </c>
      <c r="F25" s="82">
        <v>200</v>
      </c>
      <c r="G25" s="81">
        <v>282618</v>
      </c>
      <c r="H25" s="83">
        <v>1.48</v>
      </c>
      <c r="I25" s="83">
        <v>1.48</v>
      </c>
      <c r="J25" s="83">
        <v>1.1599999999999999</v>
      </c>
      <c r="K25" s="83">
        <v>1.5</v>
      </c>
      <c r="L25" s="83">
        <v>1.5</v>
      </c>
      <c r="M25" s="83">
        <v>0.76</v>
      </c>
      <c r="N25" s="83">
        <v>284</v>
      </c>
      <c r="O25" s="80"/>
    </row>
    <row r="26" spans="1:15">
      <c r="A26" s="85">
        <f t="shared" si="0"/>
        <v>600</v>
      </c>
      <c r="B26" s="80">
        <v>0</v>
      </c>
      <c r="C26" s="80">
        <v>18</v>
      </c>
      <c r="D26" s="80">
        <v>20</v>
      </c>
      <c r="E26" s="81">
        <v>8338</v>
      </c>
      <c r="F26" s="82">
        <v>200</v>
      </c>
      <c r="G26" s="81">
        <v>266535</v>
      </c>
      <c r="H26" s="83">
        <v>1.48</v>
      </c>
      <c r="I26" s="83">
        <v>1.48</v>
      </c>
      <c r="J26" s="83">
        <v>1.1599999999999999</v>
      </c>
      <c r="K26" s="83">
        <v>1.5</v>
      </c>
      <c r="L26" s="83">
        <v>1.5</v>
      </c>
      <c r="M26" s="83">
        <v>0.76</v>
      </c>
      <c r="N26" s="83">
        <v>283</v>
      </c>
      <c r="O26" s="80"/>
    </row>
    <row r="27" spans="1:15">
      <c r="A27" s="85">
        <f t="shared" si="0"/>
        <v>1600</v>
      </c>
      <c r="B27" s="22">
        <v>1000</v>
      </c>
      <c r="C27" s="22">
        <v>19</v>
      </c>
      <c r="D27" s="80">
        <v>20</v>
      </c>
      <c r="E27" s="21">
        <v>8348</v>
      </c>
      <c r="F27" s="82">
        <v>200</v>
      </c>
      <c r="G27" s="21">
        <v>270782</v>
      </c>
      <c r="H27" s="30">
        <v>1.48</v>
      </c>
      <c r="I27" s="30">
        <v>1.47</v>
      </c>
      <c r="J27" s="83">
        <v>1.1599999999999999</v>
      </c>
      <c r="K27" s="30">
        <v>1.51</v>
      </c>
      <c r="L27" s="30">
        <v>1.5</v>
      </c>
      <c r="M27" s="83">
        <v>0.76</v>
      </c>
      <c r="N27" s="30">
        <v>284</v>
      </c>
      <c r="O27" s="89"/>
    </row>
    <row r="28" spans="1:15">
      <c r="A28" s="85">
        <f t="shared" si="0"/>
        <v>1600</v>
      </c>
      <c r="B28" s="22">
        <v>1000</v>
      </c>
      <c r="C28" s="22">
        <v>20</v>
      </c>
      <c r="D28" s="80">
        <v>20</v>
      </c>
      <c r="E28" s="21">
        <v>8282</v>
      </c>
      <c r="F28" s="82">
        <v>200</v>
      </c>
      <c r="G28" s="21">
        <v>274021</v>
      </c>
      <c r="H28" s="30">
        <v>1.48</v>
      </c>
      <c r="I28" s="30">
        <v>1.48</v>
      </c>
      <c r="J28" s="83">
        <v>1.1599999999999999</v>
      </c>
      <c r="K28" s="30">
        <v>1.51</v>
      </c>
      <c r="L28" s="30">
        <v>1.51</v>
      </c>
      <c r="M28" s="83">
        <v>0.76</v>
      </c>
      <c r="N28" s="30">
        <v>284</v>
      </c>
      <c r="O28" s="107"/>
    </row>
    <row r="29" spans="1:15">
      <c r="A29" s="85">
        <f t="shared" si="0"/>
        <v>1850</v>
      </c>
      <c r="B29" s="101">
        <v>1250</v>
      </c>
      <c r="C29" s="101">
        <v>21</v>
      </c>
      <c r="D29" s="101">
        <v>20</v>
      </c>
      <c r="E29" s="102">
        <v>8306</v>
      </c>
      <c r="F29" s="103">
        <v>200</v>
      </c>
      <c r="G29" s="102">
        <v>245051</v>
      </c>
      <c r="H29" s="104">
        <v>1.49</v>
      </c>
      <c r="I29" s="104">
        <v>1.48</v>
      </c>
      <c r="J29" s="83">
        <v>1.1599999999999999</v>
      </c>
      <c r="K29" s="104">
        <v>1.5</v>
      </c>
      <c r="L29" s="104">
        <v>1.51</v>
      </c>
      <c r="M29" s="83">
        <v>0.76</v>
      </c>
      <c r="N29" s="104">
        <v>283</v>
      </c>
      <c r="O29" s="101"/>
    </row>
    <row r="30" spans="1:15">
      <c r="A30" s="85">
        <f t="shared" si="0"/>
        <v>1850</v>
      </c>
      <c r="B30" s="101">
        <v>1250</v>
      </c>
      <c r="C30" s="101">
        <v>22</v>
      </c>
      <c r="D30" s="101">
        <v>20</v>
      </c>
      <c r="E30" s="102">
        <v>8269</v>
      </c>
      <c r="F30" s="103">
        <v>200</v>
      </c>
      <c r="G30" s="102">
        <v>317069</v>
      </c>
      <c r="H30" s="104">
        <v>1.48</v>
      </c>
      <c r="I30" s="104">
        <v>1.49</v>
      </c>
      <c r="J30" s="83">
        <v>1.1599999999999999</v>
      </c>
      <c r="K30" s="104">
        <v>1.51</v>
      </c>
      <c r="L30" s="104">
        <v>1.51</v>
      </c>
      <c r="M30" s="83">
        <v>0.76</v>
      </c>
      <c r="N30" s="104">
        <v>283</v>
      </c>
      <c r="O30" s="101"/>
    </row>
    <row r="31" spans="1:15">
      <c r="A31" s="85">
        <f t="shared" si="0"/>
        <v>2100</v>
      </c>
      <c r="B31" s="92">
        <v>1500</v>
      </c>
      <c r="C31" s="92">
        <v>23</v>
      </c>
      <c r="D31" s="80">
        <v>20</v>
      </c>
      <c r="E31" s="93">
        <v>8336</v>
      </c>
      <c r="F31" s="82">
        <v>200</v>
      </c>
      <c r="G31" s="93">
        <v>287790</v>
      </c>
      <c r="H31" s="30">
        <v>1.5</v>
      </c>
      <c r="I31" s="30">
        <v>1.49</v>
      </c>
      <c r="J31" s="83">
        <v>1.1599999999999999</v>
      </c>
      <c r="K31" s="30">
        <v>1.51</v>
      </c>
      <c r="L31" s="30">
        <v>1.52</v>
      </c>
      <c r="M31" s="83">
        <v>0.76</v>
      </c>
      <c r="N31" s="30">
        <v>285</v>
      </c>
      <c r="O31" s="92"/>
    </row>
    <row r="32" spans="1:15">
      <c r="A32" s="85">
        <f t="shared" si="0"/>
        <v>2100</v>
      </c>
      <c r="B32" s="94">
        <v>1500</v>
      </c>
      <c r="C32" s="94">
        <v>24</v>
      </c>
      <c r="D32" s="95">
        <v>20</v>
      </c>
      <c r="E32" s="96">
        <v>8320</v>
      </c>
      <c r="F32" s="97">
        <v>200</v>
      </c>
      <c r="G32" s="96">
        <v>319878</v>
      </c>
      <c r="H32" s="98">
        <v>1.5</v>
      </c>
      <c r="I32" s="98">
        <v>1.5</v>
      </c>
      <c r="J32" s="83">
        <v>1.1599999999999999</v>
      </c>
      <c r="K32" s="98">
        <v>1.52</v>
      </c>
      <c r="L32" s="98">
        <v>1.52</v>
      </c>
      <c r="M32" s="83">
        <v>0.76</v>
      </c>
      <c r="N32" s="98">
        <v>285</v>
      </c>
      <c r="O32" s="94"/>
    </row>
    <row r="33" spans="1:15">
      <c r="A33" s="85">
        <f t="shared" si="0"/>
        <v>2350</v>
      </c>
      <c r="B33" s="101">
        <v>1750</v>
      </c>
      <c r="C33" s="101">
        <v>25</v>
      </c>
      <c r="D33" s="101">
        <v>20</v>
      </c>
      <c r="E33" s="102">
        <v>8313</v>
      </c>
      <c r="F33" s="103">
        <v>200</v>
      </c>
      <c r="G33" s="102">
        <v>303022</v>
      </c>
      <c r="H33" s="104">
        <v>1.5</v>
      </c>
      <c r="I33" s="104">
        <v>1.49</v>
      </c>
      <c r="J33" s="83">
        <v>1.1599999999999999</v>
      </c>
      <c r="K33" s="104">
        <v>1.52</v>
      </c>
      <c r="L33" s="104">
        <v>1.52</v>
      </c>
      <c r="M33" s="83">
        <v>0.76</v>
      </c>
      <c r="N33" s="104">
        <v>286</v>
      </c>
      <c r="O33" s="101"/>
    </row>
    <row r="34" spans="1:15">
      <c r="A34" s="85">
        <f t="shared" si="0"/>
        <v>2350</v>
      </c>
      <c r="B34" s="101">
        <v>1750</v>
      </c>
      <c r="C34" s="101">
        <v>26</v>
      </c>
      <c r="D34" s="101">
        <v>20</v>
      </c>
      <c r="E34" s="102">
        <v>8276</v>
      </c>
      <c r="F34" s="103">
        <v>200</v>
      </c>
      <c r="G34" s="102">
        <v>275280</v>
      </c>
      <c r="H34" s="104">
        <v>1.5</v>
      </c>
      <c r="I34" s="104">
        <v>1.5</v>
      </c>
      <c r="J34" s="83">
        <v>1.1599999999999999</v>
      </c>
      <c r="K34" s="104">
        <v>1.51</v>
      </c>
      <c r="L34" s="104">
        <v>1.52</v>
      </c>
      <c r="M34" s="83">
        <v>0.76</v>
      </c>
      <c r="N34" s="104">
        <v>286</v>
      </c>
      <c r="O34" s="101"/>
    </row>
    <row r="35" spans="1:15">
      <c r="A35" s="85">
        <f t="shared" si="0"/>
        <v>2600</v>
      </c>
      <c r="B35" s="22">
        <v>2000</v>
      </c>
      <c r="C35" s="22">
        <v>27</v>
      </c>
      <c r="D35" s="80">
        <v>20</v>
      </c>
      <c r="E35" s="21">
        <v>8227</v>
      </c>
      <c r="F35" s="82">
        <v>200</v>
      </c>
      <c r="G35" s="21">
        <v>271210</v>
      </c>
      <c r="H35" s="30">
        <v>1.49</v>
      </c>
      <c r="I35" s="30">
        <v>1.5</v>
      </c>
      <c r="J35" s="83">
        <v>1.1599999999999999</v>
      </c>
      <c r="K35" s="30">
        <v>1.51</v>
      </c>
      <c r="L35" s="30">
        <v>1.52</v>
      </c>
      <c r="M35" s="83">
        <v>0.76</v>
      </c>
      <c r="N35" s="30">
        <v>286</v>
      </c>
      <c r="O35" s="90"/>
    </row>
    <row r="36" spans="1:15">
      <c r="A36" s="85">
        <f t="shared" si="0"/>
        <v>2600</v>
      </c>
      <c r="B36" s="22">
        <v>2000</v>
      </c>
      <c r="C36" s="22">
        <v>28</v>
      </c>
      <c r="D36" s="80">
        <v>20</v>
      </c>
      <c r="E36" s="21">
        <v>8243</v>
      </c>
      <c r="F36" s="82">
        <v>200</v>
      </c>
      <c r="G36" s="21">
        <v>313668</v>
      </c>
      <c r="H36" s="30">
        <v>1.49</v>
      </c>
      <c r="I36" s="30">
        <v>1.49</v>
      </c>
      <c r="J36" s="83">
        <v>1.1599999999999999</v>
      </c>
      <c r="K36" s="30">
        <v>1.51</v>
      </c>
      <c r="L36" s="30">
        <v>1.52</v>
      </c>
      <c r="M36" s="83">
        <v>0.76</v>
      </c>
      <c r="N36" s="30">
        <v>286</v>
      </c>
      <c r="O36" s="90"/>
    </row>
    <row r="37" spans="1:15">
      <c r="A37" s="85">
        <f t="shared" si="0"/>
        <v>2850</v>
      </c>
      <c r="B37" s="101">
        <v>2250</v>
      </c>
      <c r="C37" s="101">
        <v>29</v>
      </c>
      <c r="D37" s="101">
        <v>20</v>
      </c>
      <c r="E37" s="102">
        <v>8274</v>
      </c>
      <c r="F37" s="103">
        <v>200</v>
      </c>
      <c r="G37" s="102">
        <v>282009</v>
      </c>
      <c r="H37" s="104">
        <v>1.5</v>
      </c>
      <c r="I37" s="104">
        <v>1.49</v>
      </c>
      <c r="J37" s="83">
        <v>1.1599999999999999</v>
      </c>
      <c r="K37" s="104">
        <v>1.52</v>
      </c>
      <c r="L37" s="104">
        <v>1.51</v>
      </c>
      <c r="M37" s="83">
        <v>0.76</v>
      </c>
      <c r="N37" s="104">
        <v>286</v>
      </c>
      <c r="O37" s="101"/>
    </row>
    <row r="38" spans="1:15">
      <c r="A38" s="85">
        <f t="shared" si="0"/>
        <v>2850</v>
      </c>
      <c r="B38" s="101">
        <v>2250</v>
      </c>
      <c r="C38" s="101">
        <v>30</v>
      </c>
      <c r="D38" s="101">
        <v>20</v>
      </c>
      <c r="E38" s="102">
        <v>8243</v>
      </c>
      <c r="F38" s="103">
        <v>200</v>
      </c>
      <c r="G38" s="102">
        <v>284650</v>
      </c>
      <c r="H38" s="104">
        <v>1.49</v>
      </c>
      <c r="I38" s="104">
        <v>1.5</v>
      </c>
      <c r="J38" s="83">
        <v>1.1599999999999999</v>
      </c>
      <c r="K38" s="104">
        <v>1.52</v>
      </c>
      <c r="L38" s="104">
        <v>1.52</v>
      </c>
      <c r="M38" s="83">
        <v>0.76</v>
      </c>
      <c r="N38" s="104">
        <v>286</v>
      </c>
      <c r="O38" s="101"/>
    </row>
    <row r="39" spans="1:15">
      <c r="A39" s="85">
        <f t="shared" si="0"/>
        <v>3100</v>
      </c>
      <c r="B39" s="22">
        <v>2500</v>
      </c>
      <c r="C39" s="22">
        <v>31</v>
      </c>
      <c r="D39" s="80">
        <v>20</v>
      </c>
      <c r="E39" s="21">
        <v>8303</v>
      </c>
      <c r="F39" s="82">
        <v>200</v>
      </c>
      <c r="G39" s="86">
        <v>290649</v>
      </c>
      <c r="H39" s="30">
        <v>1.49</v>
      </c>
      <c r="I39" s="30">
        <v>1.49</v>
      </c>
      <c r="J39" s="83">
        <v>1.1599999999999999</v>
      </c>
      <c r="K39" s="30">
        <v>1.52</v>
      </c>
      <c r="L39" s="30">
        <v>1.51</v>
      </c>
      <c r="M39" s="83">
        <v>0.76</v>
      </c>
      <c r="N39" s="30">
        <v>286</v>
      </c>
      <c r="O39" s="89"/>
    </row>
    <row r="40" spans="1:15">
      <c r="A40" s="85">
        <f t="shared" si="0"/>
        <v>3100</v>
      </c>
      <c r="B40" s="22">
        <v>2500</v>
      </c>
      <c r="C40" s="22">
        <v>32</v>
      </c>
      <c r="D40" s="80">
        <v>20</v>
      </c>
      <c r="E40" s="21">
        <v>8292</v>
      </c>
      <c r="F40" s="82">
        <v>200</v>
      </c>
      <c r="G40" s="21">
        <v>263130</v>
      </c>
      <c r="H40" s="30">
        <v>1.49</v>
      </c>
      <c r="I40" s="30">
        <v>1.49</v>
      </c>
      <c r="J40" s="83">
        <v>1.1599999999999999</v>
      </c>
      <c r="K40" s="30">
        <v>1.52</v>
      </c>
      <c r="L40" s="30">
        <v>1.51</v>
      </c>
      <c r="M40" s="83">
        <v>0.76</v>
      </c>
      <c r="N40" s="30">
        <v>286</v>
      </c>
      <c r="O40" s="105"/>
    </row>
    <row r="41" spans="1:15">
      <c r="A41" s="85">
        <f t="shared" si="0"/>
        <v>600</v>
      </c>
      <c r="B41" s="80">
        <v>0</v>
      </c>
      <c r="C41" s="80">
        <v>33</v>
      </c>
      <c r="D41" s="80">
        <v>20</v>
      </c>
      <c r="E41" s="81">
        <v>8296</v>
      </c>
      <c r="F41" s="82">
        <v>200</v>
      </c>
      <c r="G41" s="81">
        <v>311876</v>
      </c>
      <c r="H41" s="83">
        <v>1.5</v>
      </c>
      <c r="I41" s="83">
        <v>1.5</v>
      </c>
      <c r="J41" s="83">
        <v>1.1599999999999999</v>
      </c>
      <c r="K41" s="83">
        <v>1.53</v>
      </c>
      <c r="L41" s="83">
        <v>1.52</v>
      </c>
      <c r="M41" s="83">
        <v>0.76</v>
      </c>
      <c r="N41" s="83">
        <v>286</v>
      </c>
      <c r="O41" s="80"/>
    </row>
    <row r="42" spans="1:15">
      <c r="A42" s="85">
        <f t="shared" si="0"/>
        <v>600</v>
      </c>
      <c r="B42" s="80">
        <v>0</v>
      </c>
      <c r="C42" s="80">
        <v>34</v>
      </c>
      <c r="D42" s="80">
        <v>20</v>
      </c>
      <c r="E42" s="81">
        <v>8328</v>
      </c>
      <c r="F42" s="82">
        <v>200</v>
      </c>
      <c r="G42" s="81">
        <v>285681</v>
      </c>
      <c r="H42" s="83">
        <v>1.5</v>
      </c>
      <c r="I42" s="83">
        <v>1.5</v>
      </c>
      <c r="J42" s="83">
        <v>1.1599999999999999</v>
      </c>
      <c r="K42" s="83">
        <v>1.52</v>
      </c>
      <c r="L42" s="83">
        <v>1.52</v>
      </c>
      <c r="M42" s="83">
        <v>0.76</v>
      </c>
      <c r="N42" s="83">
        <v>286</v>
      </c>
      <c r="O42" s="80"/>
    </row>
    <row r="43" spans="1:15">
      <c r="A43" s="85">
        <f t="shared" si="0"/>
        <v>3600</v>
      </c>
      <c r="B43" s="22">
        <v>3000</v>
      </c>
      <c r="C43" s="22">
        <v>35</v>
      </c>
      <c r="D43" s="80">
        <v>20</v>
      </c>
      <c r="E43" s="21">
        <v>8277</v>
      </c>
      <c r="F43" s="82">
        <v>200</v>
      </c>
      <c r="G43" s="21">
        <v>305793</v>
      </c>
      <c r="H43" s="30">
        <v>1.49</v>
      </c>
      <c r="I43" s="30">
        <v>1.48</v>
      </c>
      <c r="J43" s="83">
        <v>1.1599999999999999</v>
      </c>
      <c r="K43" s="30">
        <v>1.52</v>
      </c>
      <c r="L43" s="30">
        <v>1.51</v>
      </c>
      <c r="M43" s="83">
        <v>0.76</v>
      </c>
      <c r="N43" s="30">
        <v>286</v>
      </c>
      <c r="O43" s="89"/>
    </row>
    <row r="44" spans="1:15">
      <c r="A44" s="85">
        <f t="shared" si="0"/>
        <v>3600</v>
      </c>
      <c r="B44" s="22">
        <v>3000</v>
      </c>
      <c r="C44" s="22">
        <v>36</v>
      </c>
      <c r="D44" s="80">
        <v>20</v>
      </c>
      <c r="E44" s="21">
        <v>8273</v>
      </c>
      <c r="F44" s="82">
        <v>200</v>
      </c>
      <c r="G44" s="21">
        <v>317832</v>
      </c>
      <c r="H44" s="30">
        <v>1.48</v>
      </c>
      <c r="I44" s="30">
        <v>1.48</v>
      </c>
      <c r="J44" s="83">
        <v>1.1599999999999999</v>
      </c>
      <c r="K44" s="30">
        <v>1.51</v>
      </c>
      <c r="L44" s="30">
        <v>1.51</v>
      </c>
      <c r="M44" s="83">
        <v>0.76</v>
      </c>
      <c r="N44" s="30">
        <v>286</v>
      </c>
      <c r="O44" s="100"/>
    </row>
    <row r="45" spans="1:15">
      <c r="A45" s="85">
        <f t="shared" si="0"/>
        <v>4100</v>
      </c>
      <c r="B45" s="101">
        <v>3500</v>
      </c>
      <c r="C45" s="101">
        <v>37</v>
      </c>
      <c r="D45" s="101">
        <v>20</v>
      </c>
      <c r="E45" s="102">
        <v>8273</v>
      </c>
      <c r="F45" s="103">
        <v>200</v>
      </c>
      <c r="G45" s="102">
        <v>312450</v>
      </c>
      <c r="H45" s="104">
        <v>1.48</v>
      </c>
      <c r="I45" s="104">
        <v>1.48</v>
      </c>
      <c r="J45" s="83">
        <v>1.1599999999999999</v>
      </c>
      <c r="K45" s="104">
        <v>1.51</v>
      </c>
      <c r="L45" s="104">
        <v>1.51</v>
      </c>
      <c r="M45" s="83">
        <v>0.76</v>
      </c>
      <c r="N45" s="104">
        <v>285</v>
      </c>
      <c r="O45" s="101"/>
    </row>
    <row r="46" spans="1:15">
      <c r="A46" s="85">
        <f t="shared" si="0"/>
        <v>4100</v>
      </c>
      <c r="B46" s="101">
        <v>3500</v>
      </c>
      <c r="C46" s="101">
        <v>38</v>
      </c>
      <c r="D46" s="101">
        <v>20</v>
      </c>
      <c r="E46" s="102">
        <v>8276</v>
      </c>
      <c r="F46" s="103">
        <v>200</v>
      </c>
      <c r="G46" s="102">
        <v>320298</v>
      </c>
      <c r="H46" s="104">
        <v>1.48</v>
      </c>
      <c r="I46" s="104">
        <v>1.48</v>
      </c>
      <c r="J46" s="83">
        <v>1.1599999999999999</v>
      </c>
      <c r="K46" s="104">
        <v>1.51</v>
      </c>
      <c r="L46" s="104">
        <v>1.51</v>
      </c>
      <c r="M46" s="83">
        <v>0.76</v>
      </c>
      <c r="N46" s="104">
        <v>284</v>
      </c>
      <c r="O46" s="101"/>
    </row>
    <row r="47" spans="1:15">
      <c r="A47" s="85">
        <f t="shared" si="0"/>
        <v>4600</v>
      </c>
      <c r="B47" s="22">
        <v>4000</v>
      </c>
      <c r="C47" s="22">
        <v>39</v>
      </c>
      <c r="D47" s="80">
        <v>20</v>
      </c>
      <c r="E47" s="84">
        <v>8323</v>
      </c>
      <c r="F47" s="82">
        <v>200</v>
      </c>
      <c r="G47" s="84">
        <v>341044</v>
      </c>
      <c r="H47" s="30">
        <v>1.48</v>
      </c>
      <c r="I47" s="30">
        <v>1.48</v>
      </c>
      <c r="J47" s="83">
        <v>1.1599999999999999</v>
      </c>
      <c r="K47" s="30">
        <v>1.51</v>
      </c>
      <c r="L47" s="30">
        <v>1.51</v>
      </c>
      <c r="M47" s="83">
        <v>0.76</v>
      </c>
      <c r="N47" s="30">
        <v>285</v>
      </c>
      <c r="O47" s="90"/>
    </row>
    <row r="48" spans="1:15">
      <c r="A48" s="85">
        <f t="shared" si="0"/>
        <v>4600</v>
      </c>
      <c r="B48" s="107">
        <v>4000</v>
      </c>
      <c r="C48" s="107">
        <v>40</v>
      </c>
      <c r="D48" s="80">
        <v>20</v>
      </c>
      <c r="E48" s="108">
        <v>8361</v>
      </c>
      <c r="F48" s="82">
        <v>200</v>
      </c>
      <c r="G48" s="108">
        <v>336786</v>
      </c>
      <c r="H48" s="30">
        <v>1.48</v>
      </c>
      <c r="I48" s="30">
        <v>1.48</v>
      </c>
      <c r="J48" s="83">
        <v>1.1599999999999999</v>
      </c>
      <c r="K48" s="30">
        <v>1.51</v>
      </c>
      <c r="L48" s="30">
        <v>1.52</v>
      </c>
      <c r="M48" s="83">
        <v>0.76</v>
      </c>
      <c r="N48" s="30">
        <v>286</v>
      </c>
      <c r="O48" s="107"/>
    </row>
    <row r="49" spans="1:21">
      <c r="A49" s="85">
        <f t="shared" si="0"/>
        <v>5300</v>
      </c>
      <c r="B49" s="109">
        <v>4700</v>
      </c>
      <c r="C49" s="109">
        <v>41</v>
      </c>
      <c r="D49" s="109">
        <v>20</v>
      </c>
      <c r="E49" s="110">
        <v>8160</v>
      </c>
      <c r="F49" s="111">
        <v>200</v>
      </c>
      <c r="G49" s="110">
        <v>329495</v>
      </c>
      <c r="H49" s="112">
        <v>1.48</v>
      </c>
      <c r="I49" s="112">
        <v>1.49</v>
      </c>
      <c r="J49" s="83">
        <v>1.1599999999999999</v>
      </c>
      <c r="K49" s="112">
        <v>1.52</v>
      </c>
      <c r="L49" s="112">
        <v>1.52</v>
      </c>
      <c r="M49" s="83">
        <v>0.76</v>
      </c>
      <c r="N49" s="112">
        <v>287</v>
      </c>
      <c r="O49" s="109"/>
    </row>
    <row r="50" spans="1:21">
      <c r="A50" s="85">
        <f t="shared" si="0"/>
        <v>5300</v>
      </c>
      <c r="B50" s="101">
        <v>4700</v>
      </c>
      <c r="C50" s="101">
        <v>42</v>
      </c>
      <c r="D50" s="101">
        <v>20</v>
      </c>
      <c r="E50" s="102">
        <v>8130</v>
      </c>
      <c r="F50" s="103">
        <v>200</v>
      </c>
      <c r="G50" s="102">
        <v>328363</v>
      </c>
      <c r="H50" s="104">
        <v>1.49</v>
      </c>
      <c r="I50" s="104">
        <v>1.48</v>
      </c>
      <c r="J50" s="83">
        <v>1.1599999999999999</v>
      </c>
      <c r="K50" s="104">
        <v>1.52</v>
      </c>
      <c r="L50" s="104">
        <v>1.52</v>
      </c>
      <c r="M50" s="83">
        <v>0.76</v>
      </c>
      <c r="N50" s="104">
        <v>288</v>
      </c>
      <c r="O50" s="101"/>
    </row>
    <row r="51" spans="1:21">
      <c r="A51" s="85">
        <f t="shared" si="0"/>
        <v>6000</v>
      </c>
      <c r="B51" s="22">
        <v>5400</v>
      </c>
      <c r="C51" s="22">
        <v>43</v>
      </c>
      <c r="D51" s="80">
        <v>20</v>
      </c>
      <c r="E51" s="21">
        <v>8093</v>
      </c>
      <c r="F51" s="82">
        <v>200</v>
      </c>
      <c r="G51" s="21">
        <v>375577</v>
      </c>
      <c r="H51" s="30">
        <v>1.49</v>
      </c>
      <c r="I51" s="30">
        <v>1.49</v>
      </c>
      <c r="J51" s="83">
        <v>1.1599999999999999</v>
      </c>
      <c r="K51" s="30">
        <v>1.52</v>
      </c>
      <c r="L51" s="30">
        <v>1.52</v>
      </c>
      <c r="M51" s="83">
        <v>0.76</v>
      </c>
      <c r="N51" s="30">
        <v>288</v>
      </c>
      <c r="O51" s="89"/>
    </row>
    <row r="52" spans="1:21">
      <c r="A52" s="85">
        <f t="shared" si="0"/>
        <v>6000</v>
      </c>
      <c r="B52" s="22">
        <v>5400</v>
      </c>
      <c r="C52" s="22">
        <v>44</v>
      </c>
      <c r="D52" s="80">
        <v>20</v>
      </c>
      <c r="E52" s="21">
        <v>8137</v>
      </c>
      <c r="F52" s="82">
        <v>200</v>
      </c>
      <c r="G52" s="21">
        <v>364208</v>
      </c>
      <c r="H52" s="30">
        <v>1.49</v>
      </c>
      <c r="I52" s="30">
        <v>1.49</v>
      </c>
      <c r="J52" s="83">
        <v>1.1599999999999999</v>
      </c>
      <c r="K52" s="30">
        <v>1.52</v>
      </c>
      <c r="L52" s="30">
        <v>1.53</v>
      </c>
      <c r="M52" s="83">
        <v>0.76</v>
      </c>
      <c r="N52" s="30">
        <v>287</v>
      </c>
      <c r="O52" s="89"/>
    </row>
    <row r="53" spans="1:21">
      <c r="A53" s="85">
        <f t="shared" si="0"/>
        <v>6800</v>
      </c>
      <c r="B53" s="101">
        <v>6200</v>
      </c>
      <c r="C53" s="101">
        <v>45</v>
      </c>
      <c r="D53" s="101">
        <v>20</v>
      </c>
      <c r="E53" s="102">
        <v>8146</v>
      </c>
      <c r="F53" s="103">
        <v>200</v>
      </c>
      <c r="G53" s="102">
        <v>359600</v>
      </c>
      <c r="H53" s="104">
        <v>1.51</v>
      </c>
      <c r="I53" s="104">
        <v>1.51</v>
      </c>
      <c r="J53" s="83">
        <v>1.1599999999999999</v>
      </c>
      <c r="K53" s="104">
        <v>1.52</v>
      </c>
      <c r="L53" s="104">
        <v>1.52</v>
      </c>
      <c r="M53" s="83">
        <v>0.76</v>
      </c>
      <c r="N53" s="104">
        <v>287</v>
      </c>
      <c r="O53" s="101"/>
    </row>
    <row r="54" spans="1:21">
      <c r="A54" s="85">
        <f t="shared" si="0"/>
        <v>6800</v>
      </c>
      <c r="B54" s="101">
        <v>6200</v>
      </c>
      <c r="C54" s="101">
        <v>46</v>
      </c>
      <c r="D54" s="101">
        <v>20</v>
      </c>
      <c r="E54" s="102">
        <v>8145</v>
      </c>
      <c r="F54" s="103">
        <v>200</v>
      </c>
      <c r="G54" s="102">
        <v>389414</v>
      </c>
      <c r="H54" s="104">
        <v>1.51</v>
      </c>
      <c r="I54" s="104">
        <v>1.51</v>
      </c>
      <c r="J54" s="83">
        <v>1.1599999999999999</v>
      </c>
      <c r="K54" s="104">
        <v>1.52</v>
      </c>
      <c r="L54" s="104">
        <v>1.52</v>
      </c>
      <c r="M54" s="83">
        <v>0.76</v>
      </c>
      <c r="N54" s="104">
        <v>287</v>
      </c>
      <c r="O54" s="101"/>
    </row>
    <row r="55" spans="1:21">
      <c r="A55" s="85">
        <f t="shared" si="0"/>
        <v>7600</v>
      </c>
      <c r="B55" s="22">
        <v>7000</v>
      </c>
      <c r="C55" s="22">
        <v>47</v>
      </c>
      <c r="D55" s="80">
        <v>20</v>
      </c>
      <c r="E55" s="21">
        <v>8143</v>
      </c>
      <c r="F55" s="82">
        <v>200</v>
      </c>
      <c r="G55" s="21">
        <v>361272</v>
      </c>
      <c r="H55" s="30">
        <v>1.52</v>
      </c>
      <c r="I55" s="30">
        <v>1.52</v>
      </c>
      <c r="J55" s="83">
        <v>1.1599999999999999</v>
      </c>
      <c r="K55" s="30">
        <v>1.52</v>
      </c>
      <c r="L55" s="30">
        <v>1.52</v>
      </c>
      <c r="M55" s="83">
        <v>0.76</v>
      </c>
      <c r="N55" s="30">
        <v>287</v>
      </c>
      <c r="O55" s="100"/>
    </row>
    <row r="56" spans="1:21">
      <c r="A56" s="85">
        <f t="shared" si="0"/>
        <v>7600</v>
      </c>
      <c r="B56" s="22">
        <v>7000</v>
      </c>
      <c r="C56" s="22">
        <v>48</v>
      </c>
      <c r="D56" s="80">
        <v>20</v>
      </c>
      <c r="E56" s="21">
        <v>8184</v>
      </c>
      <c r="F56" s="82">
        <v>200</v>
      </c>
      <c r="G56" s="21">
        <v>390093</v>
      </c>
      <c r="H56" s="30">
        <v>1.52</v>
      </c>
      <c r="I56" s="30">
        <v>1.52</v>
      </c>
      <c r="J56" s="83">
        <v>1.1599999999999999</v>
      </c>
      <c r="K56" s="30">
        <v>1.52</v>
      </c>
      <c r="L56" s="30">
        <v>1.52</v>
      </c>
      <c r="M56" s="83">
        <v>0.76</v>
      </c>
      <c r="N56" s="30">
        <v>286</v>
      </c>
      <c r="O56" s="100"/>
    </row>
    <row r="57" spans="1:21">
      <c r="A57" s="85">
        <f t="shared" si="0"/>
        <v>8600</v>
      </c>
      <c r="B57" s="101">
        <v>8000</v>
      </c>
      <c r="C57" s="101">
        <v>49</v>
      </c>
      <c r="D57" s="101">
        <v>20</v>
      </c>
      <c r="E57" s="102">
        <v>8175</v>
      </c>
      <c r="F57" s="103">
        <v>200</v>
      </c>
      <c r="G57" s="102">
        <v>375743</v>
      </c>
      <c r="H57" s="104">
        <v>1.52</v>
      </c>
      <c r="I57" s="104">
        <v>1.53</v>
      </c>
      <c r="J57" s="83">
        <v>1.1599999999999999</v>
      </c>
      <c r="K57" s="104">
        <v>1.52</v>
      </c>
      <c r="L57" s="104">
        <v>1.52</v>
      </c>
      <c r="M57" s="83">
        <v>0.76</v>
      </c>
      <c r="N57" s="104">
        <v>285</v>
      </c>
      <c r="O57" s="101"/>
    </row>
    <row r="58" spans="1:21">
      <c r="A58" s="85">
        <f t="shared" si="0"/>
        <v>8600</v>
      </c>
      <c r="B58" s="101">
        <v>8000</v>
      </c>
      <c r="C58" s="101">
        <v>50</v>
      </c>
      <c r="D58" s="101">
        <v>20</v>
      </c>
      <c r="E58" s="102">
        <v>8210</v>
      </c>
      <c r="F58" s="103">
        <v>200</v>
      </c>
      <c r="G58" s="102">
        <v>397746</v>
      </c>
      <c r="H58" s="104">
        <v>1.53</v>
      </c>
      <c r="I58" s="104">
        <v>1.52</v>
      </c>
      <c r="J58" s="83">
        <v>1.1599999999999999</v>
      </c>
      <c r="K58" s="104">
        <v>1.52</v>
      </c>
      <c r="L58" s="104">
        <v>1.52</v>
      </c>
      <c r="M58" s="83">
        <v>0.76</v>
      </c>
      <c r="N58" s="104">
        <v>285</v>
      </c>
      <c r="O58" s="101"/>
    </row>
    <row r="59" spans="1:21">
      <c r="A59" s="85">
        <f t="shared" si="0"/>
        <v>600</v>
      </c>
      <c r="B59" s="80">
        <v>0</v>
      </c>
      <c r="C59" s="80">
        <v>51</v>
      </c>
      <c r="D59" s="80">
        <v>20</v>
      </c>
      <c r="E59" s="81">
        <v>8186</v>
      </c>
      <c r="F59" s="82">
        <v>200</v>
      </c>
      <c r="G59" s="81">
        <v>397974</v>
      </c>
      <c r="H59" s="83">
        <v>1.49</v>
      </c>
      <c r="I59" s="83">
        <v>1.49</v>
      </c>
      <c r="J59" s="83">
        <v>1.1599999999999999</v>
      </c>
      <c r="K59" s="83">
        <v>1.52</v>
      </c>
      <c r="L59" s="83">
        <v>1.52</v>
      </c>
      <c r="M59" s="83">
        <v>0.76</v>
      </c>
      <c r="N59" s="83">
        <v>286</v>
      </c>
      <c r="O59" s="80"/>
    </row>
    <row r="60" spans="1:21">
      <c r="A60" s="85">
        <f t="shared" si="0"/>
        <v>600</v>
      </c>
      <c r="B60" s="80">
        <v>0</v>
      </c>
      <c r="C60" s="80">
        <v>52</v>
      </c>
      <c r="D60" s="80">
        <v>20</v>
      </c>
      <c r="E60" s="81">
        <v>8220</v>
      </c>
      <c r="F60" s="82">
        <v>200</v>
      </c>
      <c r="G60" s="81">
        <v>411764</v>
      </c>
      <c r="H60" s="83">
        <v>1.49</v>
      </c>
      <c r="I60" s="83">
        <v>1.49</v>
      </c>
      <c r="J60" s="83">
        <v>1.1599999999999999</v>
      </c>
      <c r="K60" s="83">
        <v>1.52</v>
      </c>
      <c r="L60" s="83">
        <v>1.52</v>
      </c>
      <c r="M60" s="83">
        <v>0.76</v>
      </c>
      <c r="N60" s="83">
        <v>285</v>
      </c>
      <c r="O60" s="80"/>
    </row>
    <row r="61" spans="1:21">
      <c r="A61" s="85">
        <f t="shared" si="0"/>
        <v>600</v>
      </c>
      <c r="B61" s="80">
        <v>0</v>
      </c>
      <c r="C61" s="80">
        <v>53</v>
      </c>
      <c r="D61" s="80">
        <v>20</v>
      </c>
      <c r="E61" s="81"/>
      <c r="F61" s="82">
        <v>200</v>
      </c>
      <c r="G61" s="81"/>
      <c r="H61" s="83"/>
      <c r="I61" s="83"/>
      <c r="J61" s="83">
        <v>1.1599999999999999</v>
      </c>
      <c r="K61" s="83"/>
      <c r="L61" s="83"/>
      <c r="M61" s="83">
        <v>0.76</v>
      </c>
      <c r="N61" s="83"/>
      <c r="O61" s="80"/>
    </row>
    <row r="62" spans="1:21">
      <c r="A62" s="85">
        <f t="shared" si="0"/>
        <v>600</v>
      </c>
      <c r="B62" s="80">
        <v>0</v>
      </c>
      <c r="C62" s="80">
        <v>54</v>
      </c>
      <c r="D62" s="80">
        <v>20</v>
      </c>
      <c r="E62" s="81"/>
      <c r="F62" s="82">
        <v>200</v>
      </c>
      <c r="G62" s="81"/>
      <c r="H62" s="83"/>
      <c r="I62" s="83"/>
      <c r="J62" s="83">
        <v>1.1599999999999999</v>
      </c>
      <c r="K62" s="83"/>
      <c r="L62" s="83"/>
      <c r="M62" s="83">
        <v>0.76</v>
      </c>
      <c r="N62" s="83"/>
      <c r="O62" s="80"/>
    </row>
    <row r="63" spans="1:21">
      <c r="A63" s="20"/>
      <c r="B63" s="20"/>
      <c r="C63" s="20"/>
      <c r="D63" s="20"/>
      <c r="E63" s="19"/>
      <c r="F63" s="18"/>
      <c r="G63" s="19"/>
      <c r="H63" s="64"/>
      <c r="I63" s="64"/>
      <c r="J63" s="64"/>
      <c r="K63" s="64"/>
      <c r="L63" s="64"/>
      <c r="M63" s="64"/>
      <c r="N63" s="64"/>
      <c r="O63" s="20"/>
    </row>
    <row r="64" spans="1:21">
      <c r="D64" s="40" t="s">
        <v>9</v>
      </c>
      <c r="K64" s="38"/>
      <c r="L64" s="38"/>
      <c r="M64" s="38"/>
      <c r="N64" s="39"/>
      <c r="O64" s="38"/>
      <c r="P64" s="38"/>
      <c r="Q64" s="38"/>
      <c r="R64" s="38"/>
      <c r="S64" s="38"/>
      <c r="T64" s="38"/>
      <c r="U64" s="38"/>
    </row>
    <row r="65" spans="2:21"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</row>
    <row r="66" spans="2:21" ht="15.75">
      <c r="B66" s="76" t="s">
        <v>48</v>
      </c>
      <c r="C66" s="3" t="s">
        <v>4</v>
      </c>
      <c r="D66" s="26" t="s">
        <v>5</v>
      </c>
      <c r="E66" s="38"/>
      <c r="F66" s="76" t="s">
        <v>49</v>
      </c>
      <c r="G66" s="3" t="s">
        <v>4</v>
      </c>
      <c r="H66" s="26" t="s">
        <v>5</v>
      </c>
      <c r="K66" s="19"/>
      <c r="L66" s="83">
        <v>0.98</v>
      </c>
      <c r="M66" s="83">
        <v>1</v>
      </c>
      <c r="N66" s="83">
        <v>0.84</v>
      </c>
      <c r="O66" s="64"/>
      <c r="P66" s="64"/>
      <c r="Q66" s="64"/>
      <c r="R66" s="64"/>
      <c r="S66" s="64"/>
      <c r="T66" s="64"/>
      <c r="U66" s="38"/>
    </row>
    <row r="67" spans="2:21">
      <c r="B67" s="24" t="s">
        <v>11</v>
      </c>
      <c r="C67" s="26">
        <v>2.4200000000000002E-12</v>
      </c>
      <c r="D67" s="26">
        <v>66598</v>
      </c>
      <c r="E67" s="39"/>
      <c r="F67" s="24" t="s">
        <v>11</v>
      </c>
      <c r="G67" s="26">
        <v>2.46E-12</v>
      </c>
      <c r="H67" s="26">
        <v>22094</v>
      </c>
      <c r="I67" s="38"/>
      <c r="J67" s="38"/>
      <c r="K67" s="19"/>
      <c r="L67" s="83">
        <v>0.98</v>
      </c>
      <c r="M67" s="83">
        <v>1</v>
      </c>
      <c r="N67" s="83">
        <v>0.84</v>
      </c>
      <c r="O67" s="64"/>
      <c r="P67" s="64"/>
      <c r="Q67" s="64"/>
      <c r="R67" s="64"/>
      <c r="S67" s="64"/>
      <c r="T67" s="64"/>
      <c r="U67" s="38"/>
    </row>
    <row r="68" spans="2:21">
      <c r="C68" s="26">
        <v>1.9699999999999999E-12</v>
      </c>
      <c r="D68" s="26">
        <v>56753</v>
      </c>
      <c r="E68" s="39"/>
      <c r="G68" s="26">
        <v>1.8600000000000002E-12</v>
      </c>
      <c r="H68" s="26">
        <v>17545</v>
      </c>
      <c r="I68" s="38"/>
      <c r="J68" s="38"/>
      <c r="K68" s="19"/>
      <c r="L68" s="30">
        <v>1.03</v>
      </c>
      <c r="M68" s="30">
        <v>1.03</v>
      </c>
      <c r="N68" s="83">
        <v>0.84</v>
      </c>
      <c r="O68" s="64"/>
      <c r="P68" s="64"/>
      <c r="Q68" s="64"/>
      <c r="R68" s="64"/>
      <c r="S68" s="64"/>
      <c r="T68" s="64"/>
      <c r="U68" s="38"/>
    </row>
    <row r="69" spans="2:21">
      <c r="C69" s="26">
        <v>1.28E-12</v>
      </c>
      <c r="D69" s="26">
        <v>41166</v>
      </c>
      <c r="E69" s="39"/>
      <c r="G69" s="26">
        <v>1.5000000000000001E-12</v>
      </c>
      <c r="H69" s="26">
        <v>14772</v>
      </c>
      <c r="I69" s="38"/>
      <c r="J69" s="38"/>
      <c r="K69" s="19"/>
      <c r="L69" s="30">
        <v>1.04</v>
      </c>
      <c r="M69" s="30">
        <v>1.03</v>
      </c>
      <c r="N69" s="83">
        <v>0.84</v>
      </c>
      <c r="O69" s="64"/>
      <c r="P69" s="64"/>
      <c r="Q69" s="64"/>
      <c r="R69" s="64"/>
      <c r="S69" s="64"/>
      <c r="T69" s="64"/>
      <c r="U69" s="38"/>
    </row>
    <row r="70" spans="2:21">
      <c r="C70" s="26">
        <v>8.7999999999999999E-13</v>
      </c>
      <c r="D70" s="26">
        <v>31837</v>
      </c>
      <c r="E70" s="39"/>
      <c r="G70" s="26">
        <v>9.9999999999999998E-13</v>
      </c>
      <c r="H70" s="26">
        <v>10987</v>
      </c>
      <c r="I70" s="38"/>
      <c r="J70" s="38"/>
      <c r="K70" s="19"/>
      <c r="L70" s="30">
        <v>1.01</v>
      </c>
      <c r="M70" s="30">
        <v>0.98</v>
      </c>
      <c r="N70" s="83">
        <v>0.84</v>
      </c>
      <c r="O70" s="64"/>
      <c r="P70" s="64"/>
      <c r="Q70" s="64"/>
      <c r="R70" s="64"/>
      <c r="S70" s="64"/>
      <c r="T70" s="64"/>
      <c r="U70" s="38"/>
    </row>
    <row r="71" spans="2:21">
      <c r="B71" s="24" t="s">
        <v>1</v>
      </c>
      <c r="C71" s="26">
        <v>1.1999999999999999E-13</v>
      </c>
      <c r="D71" s="26">
        <v>14594</v>
      </c>
      <c r="E71" s="39"/>
      <c r="F71" s="24" t="s">
        <v>1</v>
      </c>
      <c r="G71" s="26">
        <v>1.1999999999999999E-13</v>
      </c>
      <c r="H71" s="26">
        <v>4398</v>
      </c>
      <c r="I71" s="38"/>
      <c r="J71" s="38"/>
      <c r="K71" s="19"/>
      <c r="L71" s="30">
        <v>0.98</v>
      </c>
      <c r="M71" s="30">
        <v>1</v>
      </c>
      <c r="N71" s="83">
        <v>0.84</v>
      </c>
      <c r="O71" s="64"/>
      <c r="P71" s="64"/>
      <c r="Q71" s="64"/>
      <c r="R71" s="64"/>
      <c r="S71" s="64"/>
      <c r="T71" s="64"/>
      <c r="U71" s="38"/>
    </row>
    <row r="72" spans="2:21">
      <c r="D72" s="43"/>
      <c r="E72" s="39"/>
      <c r="F72" s="61"/>
      <c r="G72" s="60"/>
      <c r="H72" s="61"/>
      <c r="K72" s="38"/>
      <c r="L72" s="30">
        <v>1.01</v>
      </c>
      <c r="M72" s="30">
        <v>1.02</v>
      </c>
      <c r="N72" s="83">
        <v>0.84</v>
      </c>
      <c r="O72" s="38"/>
      <c r="P72" s="38"/>
      <c r="Q72" s="38"/>
      <c r="R72" s="38"/>
      <c r="S72" s="38"/>
      <c r="T72" s="38"/>
      <c r="U72" s="38"/>
    </row>
    <row r="73" spans="2:21">
      <c r="G73" s="61"/>
      <c r="H73" s="60"/>
      <c r="I73" s="61"/>
      <c r="K73" s="38"/>
      <c r="L73" s="30">
        <v>1.02</v>
      </c>
      <c r="M73" s="30">
        <v>1.03</v>
      </c>
      <c r="N73" s="83">
        <v>0.84</v>
      </c>
      <c r="O73" s="38"/>
      <c r="P73" s="38"/>
      <c r="Q73" s="38"/>
      <c r="R73" s="38"/>
      <c r="S73" s="38"/>
      <c r="T73" s="38"/>
      <c r="U73" s="38"/>
    </row>
    <row r="74" spans="2:21">
      <c r="C74" s="43" t="s">
        <v>51</v>
      </c>
      <c r="D74" s="24" t="s">
        <v>50</v>
      </c>
      <c r="E74" s="24"/>
      <c r="G74" s="43" t="s">
        <v>51</v>
      </c>
      <c r="H74" s="24" t="s">
        <v>50</v>
      </c>
      <c r="K74" s="38"/>
      <c r="L74" s="30">
        <v>1.04</v>
      </c>
      <c r="M74" s="30">
        <v>1</v>
      </c>
      <c r="N74" s="83">
        <v>0.84</v>
      </c>
      <c r="O74" s="38"/>
      <c r="P74" s="38"/>
      <c r="Q74" s="38"/>
      <c r="R74" s="38"/>
      <c r="S74" s="38"/>
      <c r="T74" s="38"/>
      <c r="U74" s="38"/>
    </row>
    <row r="75" spans="2:21">
      <c r="C75" s="43">
        <f>C67-$C$71</f>
        <v>2.3000000000000003E-12</v>
      </c>
      <c r="D75" s="43">
        <f>(D67-$D$71)/30</f>
        <v>1733.4666666666667</v>
      </c>
      <c r="E75" s="24"/>
      <c r="G75" s="43">
        <f>G67-$G$71</f>
        <v>2.3400000000000001E-12</v>
      </c>
      <c r="H75" s="43">
        <f>(H67-$H$71)/30</f>
        <v>589.86666666666667</v>
      </c>
      <c r="L75" s="30">
        <v>0.99</v>
      </c>
      <c r="M75" s="30">
        <v>0.99</v>
      </c>
      <c r="N75" s="83">
        <v>0.84</v>
      </c>
    </row>
    <row r="76" spans="2:21">
      <c r="C76" s="43">
        <f>C68-$C$71</f>
        <v>1.85E-12</v>
      </c>
      <c r="D76" s="43">
        <f>(D68-$D$71)/30</f>
        <v>1405.3</v>
      </c>
      <c r="E76" s="24"/>
      <c r="G76" s="43">
        <f>G68-$G$71</f>
        <v>1.7400000000000003E-12</v>
      </c>
      <c r="H76" s="43">
        <f>(H68-$H$71)/30</f>
        <v>438.23333333333335</v>
      </c>
      <c r="L76" s="30">
        <v>1</v>
      </c>
      <c r="M76" s="30">
        <v>1.02</v>
      </c>
      <c r="N76" s="83">
        <v>0.84</v>
      </c>
    </row>
    <row r="77" spans="2:21">
      <c r="C77" s="43">
        <f>C69-$C$71</f>
        <v>1.1599999999999999E-12</v>
      </c>
      <c r="D77" s="43">
        <f>(D69-$D$71)/30</f>
        <v>885.73333333333335</v>
      </c>
      <c r="E77" s="24"/>
      <c r="G77" s="43">
        <f>G69-$G$71</f>
        <v>1.3800000000000002E-12</v>
      </c>
      <c r="H77" s="43">
        <f>(H69-$H$71)/30</f>
        <v>345.8</v>
      </c>
      <c r="L77" s="30">
        <v>1.02</v>
      </c>
      <c r="M77" s="30">
        <v>1.03</v>
      </c>
      <c r="N77" s="83">
        <v>0.84</v>
      </c>
    </row>
    <row r="78" spans="2:21">
      <c r="C78" s="43">
        <f>C70-$C$71</f>
        <v>7.5999999999999999E-13</v>
      </c>
      <c r="D78" s="43">
        <f>(D70-$D$71)/30</f>
        <v>574.76666666666665</v>
      </c>
      <c r="E78" s="24"/>
      <c r="G78" s="43">
        <f>G70-$G$71</f>
        <v>8.7999999999999999E-13</v>
      </c>
      <c r="H78" s="43">
        <f>(H70-$H$71)/30</f>
        <v>219.63333333333333</v>
      </c>
      <c r="L78" s="30">
        <v>1.03</v>
      </c>
      <c r="M78" s="30">
        <v>1.04</v>
      </c>
      <c r="N78" s="83">
        <v>0.84</v>
      </c>
    </row>
    <row r="79" spans="2:21">
      <c r="C79" s="43">
        <f>C71-$C$71</f>
        <v>0</v>
      </c>
      <c r="D79" s="43">
        <f>(D71-$D$71)/30</f>
        <v>0</v>
      </c>
      <c r="E79" s="24"/>
      <c r="G79" s="43">
        <f>G71-$G$71</f>
        <v>0</v>
      </c>
      <c r="H79" s="43">
        <f>(H71-$H$71)/30</f>
        <v>0</v>
      </c>
      <c r="L79" s="30">
        <v>1.04</v>
      </c>
      <c r="M79" s="30">
        <v>0.99</v>
      </c>
      <c r="N79" s="83">
        <v>0.84</v>
      </c>
    </row>
    <row r="80" spans="2:21">
      <c r="L80" s="30">
        <v>0.99</v>
      </c>
      <c r="M80" s="30">
        <v>1</v>
      </c>
      <c r="N80" s="83">
        <v>0.84</v>
      </c>
    </row>
    <row r="81" spans="3:14">
      <c r="L81" s="30">
        <v>1</v>
      </c>
      <c r="M81" s="30">
        <v>1.02</v>
      </c>
      <c r="N81" s="83">
        <v>0.84</v>
      </c>
    </row>
    <row r="82" spans="3:14">
      <c r="C82" s="73" t="s">
        <v>52</v>
      </c>
      <c r="D82" s="74">
        <f>1/757000000000000</f>
        <v>1.3210039630118891E-15</v>
      </c>
      <c r="G82" s="73" t="s">
        <v>53</v>
      </c>
      <c r="H82" s="74">
        <f>1/252000000000000</f>
        <v>3.9682539682539682E-15</v>
      </c>
      <c r="L82" s="83">
        <v>1.02</v>
      </c>
      <c r="M82" s="83">
        <v>1.03</v>
      </c>
      <c r="N82" s="83">
        <v>0.84</v>
      </c>
    </row>
    <row r="83" spans="3:14">
      <c r="L83" s="83">
        <v>1.03</v>
      </c>
      <c r="M83" s="83">
        <v>1.01</v>
      </c>
      <c r="N83" s="83">
        <v>0.84</v>
      </c>
    </row>
    <row r="84" spans="3:14">
      <c r="L84" s="30">
        <v>1</v>
      </c>
      <c r="M84" s="30">
        <v>0.98</v>
      </c>
      <c r="N84" s="83">
        <v>0.84</v>
      </c>
    </row>
    <row r="85" spans="3:14">
      <c r="L85" s="30">
        <v>0.99</v>
      </c>
      <c r="M85" s="30">
        <v>1.01</v>
      </c>
      <c r="N85" s="83">
        <v>0.84</v>
      </c>
    </row>
    <row r="86" spans="3:14">
      <c r="L86" s="30">
        <v>1.01</v>
      </c>
      <c r="M86" s="30">
        <v>1.02</v>
      </c>
      <c r="N86" s="83">
        <v>0.84</v>
      </c>
    </row>
    <row r="87" spans="3:14">
      <c r="L87" s="30">
        <v>1.03</v>
      </c>
      <c r="M87" s="30">
        <v>1.03</v>
      </c>
      <c r="N87" s="83">
        <v>0.84</v>
      </c>
    </row>
    <row r="88" spans="3:14">
      <c r="L88" s="30">
        <v>1.01</v>
      </c>
      <c r="M88" s="30">
        <v>0.99</v>
      </c>
      <c r="N88" s="83">
        <v>0.84</v>
      </c>
    </row>
    <row r="89" spans="3:14">
      <c r="L89" s="30">
        <v>0.99</v>
      </c>
      <c r="M89" s="30">
        <v>1</v>
      </c>
      <c r="N89" s="83">
        <v>0.84</v>
      </c>
    </row>
    <row r="90" spans="3:14">
      <c r="L90" s="30">
        <v>1.01</v>
      </c>
      <c r="M90" s="30">
        <v>1.02</v>
      </c>
      <c r="N90" s="83">
        <v>0.84</v>
      </c>
    </row>
    <row r="91" spans="3:14">
      <c r="L91" s="30">
        <v>1.01</v>
      </c>
      <c r="M91" s="30">
        <v>0.99</v>
      </c>
      <c r="N91" s="83">
        <v>0.84</v>
      </c>
    </row>
    <row r="92" spans="3:14">
      <c r="L92" s="30">
        <v>0.99</v>
      </c>
      <c r="M92" s="30">
        <v>1.01</v>
      </c>
      <c r="N92" s="83">
        <v>0.84</v>
      </c>
    </row>
    <row r="93" spans="3:14">
      <c r="L93" s="30">
        <v>1.02</v>
      </c>
      <c r="M93" s="30">
        <v>1.03</v>
      </c>
      <c r="N93" s="83">
        <v>0.84</v>
      </c>
    </row>
    <row r="94" spans="3:14">
      <c r="L94" s="30">
        <v>1.04</v>
      </c>
      <c r="M94" s="30">
        <v>1</v>
      </c>
      <c r="N94" s="83">
        <v>0.84</v>
      </c>
    </row>
    <row r="95" spans="3:14">
      <c r="L95" s="30">
        <v>1</v>
      </c>
      <c r="M95" s="30">
        <v>1</v>
      </c>
      <c r="N95" s="83">
        <v>0.84</v>
      </c>
    </row>
    <row r="96" spans="3:14">
      <c r="L96" s="30">
        <v>1</v>
      </c>
      <c r="M96" s="30">
        <v>1.02</v>
      </c>
      <c r="N96" s="83">
        <v>0.84</v>
      </c>
    </row>
    <row r="97" spans="12:14">
      <c r="L97" s="30">
        <v>1.03</v>
      </c>
      <c r="M97" s="30">
        <v>1.02</v>
      </c>
      <c r="N97" s="83">
        <v>0.84</v>
      </c>
    </row>
    <row r="98" spans="12:14">
      <c r="L98" s="83">
        <v>1</v>
      </c>
      <c r="M98" s="83">
        <v>0.99</v>
      </c>
      <c r="N98" s="83">
        <v>0.84</v>
      </c>
    </row>
    <row r="99" spans="12:14">
      <c r="L99" s="83">
        <v>0.99</v>
      </c>
      <c r="M99" s="83">
        <v>1</v>
      </c>
      <c r="N99" s="83">
        <v>0.84</v>
      </c>
    </row>
    <row r="100" spans="12:14">
      <c r="L100" s="30">
        <v>1.01</v>
      </c>
      <c r="M100" s="30">
        <v>1.03</v>
      </c>
      <c r="N100" s="83">
        <v>0.84</v>
      </c>
    </row>
    <row r="101" spans="12:14">
      <c r="L101" s="30">
        <v>1.03</v>
      </c>
      <c r="M101" s="30">
        <v>1.03</v>
      </c>
      <c r="N101" s="83">
        <v>0.84</v>
      </c>
    </row>
    <row r="102" spans="12:14">
      <c r="L102" s="30">
        <v>1.02</v>
      </c>
      <c r="M102" s="30">
        <v>1</v>
      </c>
      <c r="N102" s="83">
        <v>0.84</v>
      </c>
    </row>
    <row r="103" spans="12:14">
      <c r="L103" s="30">
        <v>0.99</v>
      </c>
      <c r="M103" s="30">
        <v>0.98</v>
      </c>
      <c r="N103" s="83">
        <v>0.84</v>
      </c>
    </row>
    <row r="104" spans="12:14">
      <c r="L104" s="30">
        <v>0.97</v>
      </c>
      <c r="M104" s="30">
        <v>1.01</v>
      </c>
      <c r="N104" s="83">
        <v>0.84</v>
      </c>
    </row>
    <row r="105" spans="12:14">
      <c r="L105" s="30">
        <v>1.01</v>
      </c>
      <c r="M105" s="30">
        <v>1.01</v>
      </c>
      <c r="N105" s="83">
        <v>0.84</v>
      </c>
    </row>
    <row r="106" spans="12:14">
      <c r="L106" s="30">
        <v>1.02</v>
      </c>
      <c r="M106" s="30">
        <v>1.03</v>
      </c>
      <c r="N106" s="83">
        <v>0.84</v>
      </c>
    </row>
    <row r="107" spans="12:14">
      <c r="L107" s="30">
        <v>1.02</v>
      </c>
      <c r="M107" s="30">
        <v>1</v>
      </c>
      <c r="N107" s="83">
        <v>0.84</v>
      </c>
    </row>
    <row r="108" spans="12:14">
      <c r="L108" s="30">
        <v>0.99</v>
      </c>
      <c r="M108" s="30">
        <v>0.99</v>
      </c>
      <c r="N108" s="83">
        <v>0.84</v>
      </c>
    </row>
    <row r="109" spans="12:14">
      <c r="L109" s="30">
        <v>0.99</v>
      </c>
      <c r="M109" s="30">
        <v>1</v>
      </c>
      <c r="N109" s="83">
        <v>0.84</v>
      </c>
    </row>
    <row r="110" spans="12:14">
      <c r="L110" s="30">
        <v>1.01</v>
      </c>
      <c r="M110" s="30">
        <v>1.03</v>
      </c>
      <c r="N110" s="83">
        <v>0.84</v>
      </c>
    </row>
    <row r="111" spans="12:14">
      <c r="L111" s="30">
        <v>1.02</v>
      </c>
      <c r="M111" s="30">
        <v>1</v>
      </c>
      <c r="N111" s="83">
        <v>0.84</v>
      </c>
    </row>
    <row r="112" spans="12:14">
      <c r="L112" s="30">
        <v>1</v>
      </c>
      <c r="M112" s="30">
        <v>0.99</v>
      </c>
      <c r="N112" s="83">
        <v>0.84</v>
      </c>
    </row>
    <row r="113" spans="12:14">
      <c r="L113" s="30">
        <v>1</v>
      </c>
      <c r="M113" s="30">
        <v>1.01</v>
      </c>
      <c r="N113" s="83">
        <v>0.84</v>
      </c>
    </row>
    <row r="114" spans="12:14">
      <c r="L114" s="30">
        <v>1.02</v>
      </c>
      <c r="M114" s="30">
        <v>1.03</v>
      </c>
      <c r="N114" s="83">
        <v>0.84</v>
      </c>
    </row>
    <row r="115" spans="12:14">
      <c r="L115" s="30">
        <v>1.02</v>
      </c>
      <c r="M115" s="30">
        <v>1</v>
      </c>
      <c r="N115" s="83">
        <v>0.84</v>
      </c>
    </row>
    <row r="116" spans="12:14">
      <c r="L116" s="30">
        <v>0.99</v>
      </c>
      <c r="M116" s="30">
        <v>0.99</v>
      </c>
      <c r="N116" s="83">
        <v>0.84</v>
      </c>
    </row>
    <row r="117" spans="12:14">
      <c r="L117" s="30">
        <v>1</v>
      </c>
      <c r="M117" s="30">
        <v>1.01</v>
      </c>
      <c r="N117" s="83">
        <v>0.84</v>
      </c>
    </row>
    <row r="118" spans="12:14">
      <c r="L118" s="83">
        <v>1.02</v>
      </c>
      <c r="M118" s="83">
        <v>1.02</v>
      </c>
      <c r="N118" s="83">
        <v>0.84</v>
      </c>
    </row>
    <row r="119" spans="12:14">
      <c r="L119" s="83">
        <v>1.02</v>
      </c>
      <c r="M119" s="83">
        <v>1</v>
      </c>
      <c r="N119" s="83">
        <v>0.84</v>
      </c>
    </row>
  </sheetData>
  <mergeCells count="7">
    <mergeCell ref="M1:P1"/>
    <mergeCell ref="M2:P2"/>
    <mergeCell ref="D7:E7"/>
    <mergeCell ref="F6:G6"/>
    <mergeCell ref="H6:M6"/>
    <mergeCell ref="H7:J7"/>
    <mergeCell ref="K7:M7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200" verticalDpi="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K760"/>
  <sheetViews>
    <sheetView topLeftCell="E1" workbookViewId="0">
      <selection activeCell="E60" sqref="E60"/>
    </sheetView>
  </sheetViews>
  <sheetFormatPr defaultColWidth="9" defaultRowHeight="12.75"/>
  <cols>
    <col min="1" max="2" width="9" style="24" customWidth="1"/>
    <col min="3" max="3" width="11" style="24" bestFit="1" customWidth="1"/>
    <col min="4" max="4" width="9.42578125" style="42" bestFit="1" customWidth="1"/>
    <col min="5" max="5" width="15.140625" style="43" bestFit="1" customWidth="1"/>
    <col min="6" max="6" width="15.140625" style="42" bestFit="1" customWidth="1"/>
    <col min="7" max="7" width="15.140625" style="43" bestFit="1" customWidth="1"/>
    <col min="8" max="8" width="17.28515625" style="43" bestFit="1" customWidth="1"/>
    <col min="9" max="9" width="11.85546875" style="43" bestFit="1" customWidth="1"/>
    <col min="10" max="10" width="11.85546875" style="43" customWidth="1"/>
    <col min="11" max="11" width="12" style="43" bestFit="1" customWidth="1"/>
    <col min="12" max="12" width="9" style="43" bestFit="1" customWidth="1"/>
    <col min="13" max="13" width="13.7109375" style="43" customWidth="1"/>
    <col min="14" max="14" width="12.85546875" style="24" bestFit="1" customWidth="1"/>
    <col min="15" max="15" width="9" style="43" customWidth="1"/>
    <col min="16" max="16" width="16.5703125" style="24" bestFit="1" customWidth="1"/>
    <col min="17" max="17" width="15" style="43" bestFit="1" customWidth="1"/>
    <col min="18" max="18" width="12.42578125" style="43" bestFit="1" customWidth="1"/>
    <col min="19" max="19" width="9.42578125" style="24" bestFit="1" customWidth="1"/>
    <col min="20" max="20" width="12.42578125" style="24" bestFit="1" customWidth="1"/>
    <col min="21" max="27" width="9" style="24" customWidth="1"/>
    <col min="28" max="28" width="10.28515625" style="24" bestFit="1" customWidth="1"/>
    <col min="29" max="29" width="11.7109375" style="24" bestFit="1" customWidth="1"/>
    <col min="30" max="35" width="9" style="24" customWidth="1"/>
    <col min="36" max="36" width="11.7109375" style="24" bestFit="1" customWidth="1"/>
    <col min="37" max="16384" width="9" style="24"/>
  </cols>
  <sheetData>
    <row r="2" spans="1:36">
      <c r="B2" s="29"/>
      <c r="C2" s="29"/>
      <c r="D2" s="36"/>
      <c r="E2" s="37"/>
      <c r="F2" s="36"/>
      <c r="G2" s="37"/>
      <c r="H2" s="37"/>
      <c r="I2" s="37"/>
      <c r="J2" s="37"/>
      <c r="K2" s="37"/>
      <c r="L2" s="37"/>
      <c r="M2" s="37"/>
      <c r="N2" s="29"/>
      <c r="O2" s="37"/>
      <c r="P2" s="29"/>
      <c r="Q2" s="37"/>
      <c r="R2" s="37"/>
      <c r="S2" s="29"/>
      <c r="T2" s="29"/>
      <c r="U2" s="20"/>
      <c r="V2" s="20"/>
      <c r="W2" s="20"/>
      <c r="X2" s="20"/>
      <c r="Y2" s="29"/>
      <c r="Z2" s="29"/>
      <c r="AA2" s="29"/>
      <c r="AB2" s="29"/>
      <c r="AC2" s="29"/>
      <c r="AD2" s="29"/>
    </row>
    <row r="3" spans="1:36">
      <c r="A3" s="20"/>
      <c r="B3" s="22"/>
      <c r="C3" s="22"/>
      <c r="D3" s="123" t="str">
        <f>input!D7</f>
        <v>Sem Feixe</v>
      </c>
      <c r="E3" s="124"/>
      <c r="F3" s="126" t="s">
        <v>47</v>
      </c>
      <c r="G3" s="126"/>
      <c r="H3" s="126"/>
      <c r="I3" s="126"/>
      <c r="J3" s="126"/>
      <c r="K3" s="29"/>
      <c r="L3" s="29"/>
      <c r="M3" s="22"/>
      <c r="N3" s="21" t="s">
        <v>2</v>
      </c>
      <c r="O3" s="21" t="s">
        <v>14</v>
      </c>
      <c r="P3" s="29"/>
      <c r="Q3" s="29"/>
      <c r="R3" s="20"/>
      <c r="S3" s="29"/>
      <c r="T3" s="20"/>
      <c r="U3" s="20"/>
      <c r="V3" s="20"/>
      <c r="W3" s="20"/>
      <c r="X3" s="29"/>
      <c r="Y3" s="29"/>
      <c r="Z3" s="29"/>
      <c r="AA3" s="29"/>
      <c r="AB3" s="29"/>
      <c r="AC3" s="29"/>
    </row>
    <row r="4" spans="1:36">
      <c r="A4" s="20"/>
      <c r="B4" s="22" t="str">
        <f>input!B8</f>
        <v>tempo(ns)</v>
      </c>
      <c r="C4" s="22" t="str">
        <f>input!C8</f>
        <v>medida</v>
      </c>
      <c r="D4" s="32" t="str">
        <f>input!D8</f>
        <v>t (s)</v>
      </c>
      <c r="E4" s="21" t="str">
        <f>input!E8</f>
        <v># i</v>
      </c>
      <c r="F4" s="32" t="str">
        <f>input!F8</f>
        <v>t (s)</v>
      </c>
      <c r="G4" s="21" t="str">
        <f>input!G8</f>
        <v># i</v>
      </c>
      <c r="H4" s="30" t="str">
        <f>input!H8</f>
        <v>pi(mTorr)</v>
      </c>
      <c r="I4" s="30" t="str">
        <f>input!I8</f>
        <v>pf(mTorr)</v>
      </c>
      <c r="J4" s="30" t="str">
        <f>input!J8</f>
        <v>fundo</v>
      </c>
      <c r="K4" s="29"/>
      <c r="L4" s="29"/>
      <c r="M4" s="22" t="s">
        <v>12</v>
      </c>
      <c r="N4" s="21" t="s">
        <v>13</v>
      </c>
      <c r="O4" s="21" t="s">
        <v>16</v>
      </c>
      <c r="P4" s="29"/>
      <c r="Q4" s="29"/>
      <c r="R4" s="29"/>
      <c r="S4" s="29"/>
      <c r="T4" s="20"/>
      <c r="U4" s="20"/>
      <c r="V4" s="20"/>
      <c r="W4" s="20"/>
      <c r="X4" s="29"/>
      <c r="Y4" s="29"/>
      <c r="Z4" s="29"/>
      <c r="AA4" s="29"/>
      <c r="AB4" s="29"/>
      <c r="AC4" s="29"/>
    </row>
    <row r="5" spans="1:36">
      <c r="A5" s="20"/>
      <c r="B5" s="22">
        <f>input!B9</f>
        <v>0</v>
      </c>
      <c r="C5" s="22">
        <f>input!C9</f>
        <v>1</v>
      </c>
      <c r="D5" s="32">
        <f>input!D9</f>
        <v>20</v>
      </c>
      <c r="E5" s="21">
        <f>input!E9</f>
        <v>8359</v>
      </c>
      <c r="F5" s="32">
        <f>input!F9</f>
        <v>200</v>
      </c>
      <c r="G5" s="21">
        <f>input!G9</f>
        <v>268328</v>
      </c>
      <c r="H5" s="30">
        <f>input!H9</f>
        <v>1.48</v>
      </c>
      <c r="I5" s="30">
        <f>input!I9</f>
        <v>1.48</v>
      </c>
      <c r="J5" s="30">
        <f>input!J9</f>
        <v>1.1599999999999999</v>
      </c>
      <c r="K5" s="29"/>
      <c r="L5" s="29"/>
      <c r="M5" s="22">
        <f t="shared" ref="M5:M10" si="0">C5</f>
        <v>1</v>
      </c>
      <c r="N5" s="21">
        <f t="shared" ref="N5:N10" si="1">G5-((F5/D5)*E5)</f>
        <v>184738</v>
      </c>
      <c r="O5" s="21">
        <f>(((H5+I5)/2)-J5)*0.001</f>
        <v>3.2000000000000008E-4</v>
      </c>
      <c r="P5" s="29"/>
      <c r="Q5" s="29"/>
      <c r="R5" s="29"/>
      <c r="S5" s="29"/>
      <c r="T5" s="20"/>
      <c r="U5" s="19"/>
      <c r="V5" s="20"/>
      <c r="W5" s="20"/>
      <c r="X5" s="29"/>
      <c r="Y5" s="29"/>
      <c r="Z5" s="29"/>
      <c r="AA5" s="29"/>
      <c r="AB5" s="29"/>
      <c r="AC5" s="29"/>
    </row>
    <row r="6" spans="1:36">
      <c r="A6" s="20"/>
      <c r="B6" s="22">
        <f>input!B10</f>
        <v>0</v>
      </c>
      <c r="C6" s="22">
        <f>input!C10</f>
        <v>2</v>
      </c>
      <c r="D6" s="32">
        <f>input!D10</f>
        <v>20</v>
      </c>
      <c r="E6" s="21">
        <f>input!E10</f>
        <v>8380</v>
      </c>
      <c r="F6" s="32">
        <f>input!F10</f>
        <v>200</v>
      </c>
      <c r="G6" s="21">
        <f>input!G10</f>
        <v>339451</v>
      </c>
      <c r="H6" s="30">
        <f>input!H10</f>
        <v>1.48</v>
      </c>
      <c r="I6" s="30">
        <f>input!I10</f>
        <v>1.48</v>
      </c>
      <c r="J6" s="30">
        <f>input!J10</f>
        <v>1.1599999999999999</v>
      </c>
      <c r="K6" s="29"/>
      <c r="L6" s="29"/>
      <c r="M6" s="22">
        <f t="shared" si="0"/>
        <v>2</v>
      </c>
      <c r="N6" s="21">
        <f t="shared" si="1"/>
        <v>255651</v>
      </c>
      <c r="O6" s="21">
        <f t="shared" ref="O6:O15" si="2">(((H6+I6)/2)-J6)*0.001</f>
        <v>3.2000000000000008E-4</v>
      </c>
      <c r="P6" s="29"/>
      <c r="Q6" s="29"/>
      <c r="R6" s="29"/>
      <c r="S6" s="37"/>
      <c r="T6" s="20"/>
      <c r="U6" s="19"/>
      <c r="V6" s="20"/>
      <c r="W6" s="20"/>
      <c r="X6" s="29"/>
      <c r="Y6" s="37"/>
      <c r="Z6" s="29"/>
      <c r="AA6" s="29"/>
      <c r="AB6" s="29"/>
      <c r="AC6" s="29"/>
    </row>
    <row r="7" spans="1:36">
      <c r="A7" s="20"/>
      <c r="B7" s="22">
        <f>input!B11</f>
        <v>100</v>
      </c>
      <c r="C7" s="22">
        <f>input!C11</f>
        <v>3</v>
      </c>
      <c r="D7" s="32">
        <f>input!D11</f>
        <v>20</v>
      </c>
      <c r="E7" s="21">
        <f>input!E11</f>
        <v>8132</v>
      </c>
      <c r="F7" s="32">
        <f>input!F11</f>
        <v>200</v>
      </c>
      <c r="G7" s="21">
        <f>input!G11</f>
        <v>244483</v>
      </c>
      <c r="H7" s="30">
        <f>input!H11</f>
        <v>1.49</v>
      </c>
      <c r="I7" s="30">
        <f>input!I11</f>
        <v>1.49</v>
      </c>
      <c r="J7" s="30">
        <f>input!J11</f>
        <v>1.1599999999999999</v>
      </c>
      <c r="K7" s="29"/>
      <c r="L7" s="29"/>
      <c r="M7" s="22">
        <f t="shared" si="0"/>
        <v>3</v>
      </c>
      <c r="N7" s="21">
        <f t="shared" si="1"/>
        <v>163163</v>
      </c>
      <c r="O7" s="21">
        <f t="shared" si="2"/>
        <v>3.3000000000000005E-4</v>
      </c>
      <c r="P7" s="29"/>
      <c r="Q7" s="29"/>
      <c r="R7" s="29"/>
      <c r="S7" s="37"/>
      <c r="T7" s="20"/>
      <c r="U7" s="19"/>
      <c r="V7" s="20"/>
      <c r="W7" s="20"/>
      <c r="X7" s="29"/>
      <c r="Y7" s="37"/>
      <c r="Z7" s="29"/>
      <c r="AA7" s="29"/>
      <c r="AB7" s="29"/>
      <c r="AC7" s="29"/>
    </row>
    <row r="8" spans="1:36">
      <c r="A8" s="20"/>
      <c r="B8" s="22">
        <f>input!B12</f>
        <v>100</v>
      </c>
      <c r="C8" s="22">
        <f>input!C12</f>
        <v>4</v>
      </c>
      <c r="D8" s="32">
        <f>input!D12</f>
        <v>20</v>
      </c>
      <c r="E8" s="21">
        <f>input!E12</f>
        <v>8118</v>
      </c>
      <c r="F8" s="32">
        <f>input!F12</f>
        <v>200</v>
      </c>
      <c r="G8" s="21">
        <f>input!G12</f>
        <v>271876</v>
      </c>
      <c r="H8" s="30">
        <f>input!H12</f>
        <v>1.49</v>
      </c>
      <c r="I8" s="30">
        <f>input!I12</f>
        <v>1.49</v>
      </c>
      <c r="J8" s="30">
        <f>input!J12</f>
        <v>1.1599999999999999</v>
      </c>
      <c r="K8" s="29"/>
      <c r="L8" s="29"/>
      <c r="M8" s="22">
        <f t="shared" si="0"/>
        <v>4</v>
      </c>
      <c r="N8" s="21">
        <f t="shared" si="1"/>
        <v>190696</v>
      </c>
      <c r="O8" s="21">
        <f t="shared" si="2"/>
        <v>3.3000000000000005E-4</v>
      </c>
      <c r="P8" s="29"/>
      <c r="Q8" s="29"/>
      <c r="R8" s="29"/>
      <c r="S8" s="37"/>
      <c r="T8" s="20"/>
      <c r="U8" s="19"/>
      <c r="V8" s="20"/>
      <c r="W8" s="20"/>
      <c r="X8" s="29"/>
      <c r="Y8" s="37"/>
      <c r="Z8" s="29"/>
      <c r="AA8" s="29"/>
      <c r="AB8" s="29"/>
      <c r="AC8" s="29"/>
    </row>
    <row r="9" spans="1:36">
      <c r="A9" s="20"/>
      <c r="B9" s="22">
        <f>input!B13</f>
        <v>200</v>
      </c>
      <c r="C9" s="22">
        <f>input!C13</f>
        <v>5</v>
      </c>
      <c r="D9" s="32">
        <f>input!D13</f>
        <v>20</v>
      </c>
      <c r="E9" s="21">
        <f>input!E13</f>
        <v>8135</v>
      </c>
      <c r="F9" s="32">
        <f>input!F13</f>
        <v>200</v>
      </c>
      <c r="G9" s="21">
        <f>input!G13</f>
        <v>307177</v>
      </c>
      <c r="H9" s="30">
        <f>input!H13</f>
        <v>1.49</v>
      </c>
      <c r="I9" s="30">
        <f>input!I13</f>
        <v>1.49</v>
      </c>
      <c r="J9" s="30">
        <f>input!J13</f>
        <v>1.1599999999999999</v>
      </c>
      <c r="K9" s="29"/>
      <c r="L9" s="29"/>
      <c r="M9" s="22">
        <f t="shared" si="0"/>
        <v>5</v>
      </c>
      <c r="N9" s="21">
        <f t="shared" si="1"/>
        <v>225827</v>
      </c>
      <c r="O9" s="21">
        <f t="shared" si="2"/>
        <v>3.3000000000000005E-4</v>
      </c>
      <c r="P9" s="29"/>
      <c r="Q9" s="20"/>
      <c r="R9" s="20"/>
      <c r="S9" s="37"/>
      <c r="T9" s="20"/>
      <c r="U9" s="19"/>
      <c r="V9" s="20"/>
      <c r="W9" s="19"/>
      <c r="X9" s="20"/>
      <c r="Y9" s="19"/>
      <c r="Z9" s="20"/>
      <c r="AA9" s="20"/>
      <c r="AB9" s="20"/>
      <c r="AC9" s="20"/>
      <c r="AD9" s="38"/>
      <c r="AE9" s="38"/>
      <c r="AF9" s="38"/>
      <c r="AG9" s="38"/>
      <c r="AH9" s="38"/>
      <c r="AI9" s="38"/>
      <c r="AJ9" s="38"/>
    </row>
    <row r="10" spans="1:36">
      <c r="A10" s="20"/>
      <c r="B10" s="22">
        <f>input!B14</f>
        <v>200</v>
      </c>
      <c r="C10" s="22">
        <f>input!C14</f>
        <v>6</v>
      </c>
      <c r="D10" s="32">
        <f>input!D14</f>
        <v>20</v>
      </c>
      <c r="E10" s="21">
        <f>input!E14</f>
        <v>8171</v>
      </c>
      <c r="F10" s="32">
        <f>input!F14</f>
        <v>200</v>
      </c>
      <c r="G10" s="21">
        <f>input!G14</f>
        <v>253503</v>
      </c>
      <c r="H10" s="30">
        <f>input!H14</f>
        <v>1.49</v>
      </c>
      <c r="I10" s="30">
        <f>input!I14</f>
        <v>1.49</v>
      </c>
      <c r="J10" s="30">
        <f>input!J14</f>
        <v>1.1599999999999999</v>
      </c>
      <c r="K10" s="29"/>
      <c r="L10" s="29"/>
      <c r="M10" s="22">
        <f t="shared" si="0"/>
        <v>6</v>
      </c>
      <c r="N10" s="21">
        <f t="shared" si="1"/>
        <v>171793</v>
      </c>
      <c r="O10" s="21">
        <f t="shared" si="2"/>
        <v>3.3000000000000005E-4</v>
      </c>
      <c r="P10" s="29"/>
      <c r="Q10" s="20"/>
      <c r="R10" s="20"/>
      <c r="S10" s="37"/>
      <c r="T10" s="20"/>
      <c r="U10" s="19"/>
      <c r="V10" s="20"/>
      <c r="W10" s="19"/>
      <c r="X10" s="20"/>
      <c r="Y10" s="19"/>
      <c r="Z10" s="20"/>
      <c r="AA10" s="20"/>
      <c r="AB10" s="20"/>
      <c r="AC10" s="20"/>
      <c r="AD10" s="38"/>
      <c r="AE10" s="38"/>
      <c r="AF10" s="38"/>
      <c r="AG10" s="38"/>
      <c r="AH10" s="38"/>
      <c r="AI10" s="38"/>
      <c r="AJ10" s="38"/>
    </row>
    <row r="11" spans="1:36">
      <c r="A11" s="20"/>
      <c r="B11" s="22">
        <f>input!B15</f>
        <v>300</v>
      </c>
      <c r="C11" s="22">
        <f>input!C15</f>
        <v>7</v>
      </c>
      <c r="D11" s="32">
        <f>input!D15</f>
        <v>20</v>
      </c>
      <c r="E11" s="21">
        <f>input!E15</f>
        <v>8119</v>
      </c>
      <c r="F11" s="32">
        <f>input!F15</f>
        <v>200</v>
      </c>
      <c r="G11" s="21">
        <f>input!G15</f>
        <v>250327</v>
      </c>
      <c r="H11" s="30">
        <f>input!H15</f>
        <v>1.49</v>
      </c>
      <c r="I11" s="30">
        <f>input!I15</f>
        <v>1.49</v>
      </c>
      <c r="J11" s="30">
        <f>input!J15</f>
        <v>1.1599999999999999</v>
      </c>
      <c r="K11" s="29"/>
      <c r="L11" s="29"/>
      <c r="M11" s="22">
        <f t="shared" ref="M11:M20" si="3">C11</f>
        <v>7</v>
      </c>
      <c r="N11" s="21">
        <f t="shared" ref="N11:N20" si="4">G11-((F11/D11)*E11)</f>
        <v>169137</v>
      </c>
      <c r="O11" s="21">
        <f t="shared" si="2"/>
        <v>3.3000000000000005E-4</v>
      </c>
      <c r="P11" s="29"/>
      <c r="Q11" s="20"/>
      <c r="R11" s="20"/>
      <c r="S11" s="37"/>
      <c r="T11" s="20"/>
      <c r="U11" s="19"/>
      <c r="V11" s="20"/>
      <c r="W11" s="19"/>
      <c r="X11" s="20"/>
      <c r="Y11" s="19"/>
      <c r="Z11" s="20"/>
      <c r="AA11" s="20"/>
      <c r="AB11" s="20"/>
      <c r="AC11" s="20"/>
      <c r="AD11" s="38"/>
      <c r="AE11" s="38"/>
      <c r="AF11" s="38"/>
      <c r="AG11" s="38"/>
      <c r="AH11" s="38"/>
      <c r="AI11" s="38"/>
      <c r="AJ11" s="38"/>
    </row>
    <row r="12" spans="1:36">
      <c r="A12" s="20"/>
      <c r="B12" s="22">
        <f>input!B16</f>
        <v>300</v>
      </c>
      <c r="C12" s="22">
        <f>input!C16</f>
        <v>8</v>
      </c>
      <c r="D12" s="32">
        <f>input!D16</f>
        <v>20</v>
      </c>
      <c r="E12" s="21">
        <f>input!E16</f>
        <v>8135</v>
      </c>
      <c r="F12" s="32">
        <f>input!F16</f>
        <v>200</v>
      </c>
      <c r="G12" s="21">
        <f>input!G16</f>
        <v>254408</v>
      </c>
      <c r="H12" s="30">
        <f>input!H16</f>
        <v>1.49</v>
      </c>
      <c r="I12" s="30">
        <f>input!I16</f>
        <v>1.49</v>
      </c>
      <c r="J12" s="30">
        <f>input!J16</f>
        <v>1.1599999999999999</v>
      </c>
      <c r="K12" s="29"/>
      <c r="L12" s="29"/>
      <c r="M12" s="22">
        <f t="shared" si="3"/>
        <v>8</v>
      </c>
      <c r="N12" s="21">
        <f t="shared" si="4"/>
        <v>173058</v>
      </c>
      <c r="O12" s="21">
        <f t="shared" si="2"/>
        <v>3.3000000000000005E-4</v>
      </c>
      <c r="P12" s="29"/>
      <c r="Q12" s="20"/>
      <c r="R12" s="20"/>
      <c r="S12" s="37"/>
      <c r="T12" s="20"/>
      <c r="U12" s="19"/>
      <c r="V12" s="20"/>
      <c r="W12" s="19"/>
      <c r="X12" s="20"/>
      <c r="Y12" s="19"/>
      <c r="Z12" s="20"/>
      <c r="AA12" s="20"/>
      <c r="AB12" s="20"/>
      <c r="AC12" s="20"/>
      <c r="AD12" s="38"/>
      <c r="AE12" s="38"/>
      <c r="AF12" s="38"/>
      <c r="AG12" s="38"/>
      <c r="AH12" s="38"/>
      <c r="AI12" s="38"/>
      <c r="AJ12" s="38"/>
    </row>
    <row r="13" spans="1:36">
      <c r="A13" s="20"/>
      <c r="B13" s="22">
        <f>input!B17</f>
        <v>400</v>
      </c>
      <c r="C13" s="22">
        <f>input!C17</f>
        <v>9</v>
      </c>
      <c r="D13" s="32">
        <f>input!D17</f>
        <v>20</v>
      </c>
      <c r="E13" s="21">
        <f>input!E17</f>
        <v>8115</v>
      </c>
      <c r="F13" s="32">
        <f>input!F17</f>
        <v>200</v>
      </c>
      <c r="G13" s="21">
        <f>input!G17</f>
        <v>264086</v>
      </c>
      <c r="H13" s="30">
        <f>input!H17</f>
        <v>1.49</v>
      </c>
      <c r="I13" s="30">
        <f>input!I17</f>
        <v>1.49</v>
      </c>
      <c r="J13" s="30">
        <f>input!J17</f>
        <v>1.1599999999999999</v>
      </c>
      <c r="K13" s="29"/>
      <c r="L13" s="29"/>
      <c r="M13" s="22">
        <f t="shared" si="3"/>
        <v>9</v>
      </c>
      <c r="N13" s="21">
        <f t="shared" si="4"/>
        <v>182936</v>
      </c>
      <c r="O13" s="21">
        <f t="shared" si="2"/>
        <v>3.3000000000000005E-4</v>
      </c>
      <c r="P13" s="29"/>
      <c r="Q13" s="20"/>
      <c r="R13" s="20"/>
      <c r="S13" s="37"/>
      <c r="T13" s="20"/>
      <c r="U13" s="19"/>
      <c r="V13" s="20"/>
      <c r="W13" s="19"/>
      <c r="X13" s="20"/>
      <c r="Y13" s="19"/>
      <c r="Z13" s="20"/>
      <c r="AA13" s="20"/>
      <c r="AB13" s="20"/>
      <c r="AC13" s="20"/>
      <c r="AD13" s="38"/>
      <c r="AE13" s="38"/>
      <c r="AF13" s="38"/>
      <c r="AG13" s="38"/>
      <c r="AH13" s="38"/>
      <c r="AI13" s="38"/>
      <c r="AJ13" s="38"/>
    </row>
    <row r="14" spans="1:36">
      <c r="A14" s="20"/>
      <c r="B14" s="22">
        <f>input!B18</f>
        <v>400</v>
      </c>
      <c r="C14" s="22">
        <f>input!C18</f>
        <v>10</v>
      </c>
      <c r="D14" s="32">
        <f>input!D18</f>
        <v>20</v>
      </c>
      <c r="E14" s="21">
        <f>input!E18</f>
        <v>8262</v>
      </c>
      <c r="F14" s="32">
        <f>input!F18</f>
        <v>200</v>
      </c>
      <c r="G14" s="21">
        <f>input!G18</f>
        <v>255708</v>
      </c>
      <c r="H14" s="30">
        <f>input!H18</f>
        <v>1.49</v>
      </c>
      <c r="I14" s="30">
        <f>input!I18</f>
        <v>1.49</v>
      </c>
      <c r="J14" s="30">
        <f>input!J18</f>
        <v>1.1599999999999999</v>
      </c>
      <c r="K14" s="29"/>
      <c r="L14" s="29"/>
      <c r="M14" s="22">
        <f t="shared" si="3"/>
        <v>10</v>
      </c>
      <c r="N14" s="21">
        <f t="shared" si="4"/>
        <v>173088</v>
      </c>
      <c r="O14" s="21">
        <f t="shared" si="2"/>
        <v>3.3000000000000005E-4</v>
      </c>
      <c r="P14" s="29"/>
      <c r="Q14" s="20"/>
      <c r="R14" s="20"/>
      <c r="S14" s="37"/>
      <c r="T14" s="20"/>
      <c r="U14" s="19"/>
      <c r="V14" s="20"/>
      <c r="W14" s="19"/>
      <c r="X14" s="20"/>
      <c r="Y14" s="19"/>
      <c r="Z14" s="20"/>
      <c r="AA14" s="20"/>
      <c r="AB14" s="20"/>
      <c r="AC14" s="20"/>
      <c r="AD14" s="38"/>
      <c r="AE14" s="38"/>
      <c r="AF14" s="38"/>
      <c r="AG14" s="38"/>
      <c r="AH14" s="38"/>
      <c r="AI14" s="38"/>
      <c r="AJ14" s="38"/>
    </row>
    <row r="15" spans="1:36">
      <c r="A15" s="20"/>
      <c r="B15" s="22">
        <f>input!B19</f>
        <v>500</v>
      </c>
      <c r="C15" s="22">
        <f>input!C19</f>
        <v>11</v>
      </c>
      <c r="D15" s="32">
        <f>input!D19</f>
        <v>20</v>
      </c>
      <c r="E15" s="21">
        <f>input!E19</f>
        <v>8350</v>
      </c>
      <c r="F15" s="32">
        <f>input!F19</f>
        <v>200</v>
      </c>
      <c r="G15" s="21">
        <f>input!G19</f>
        <v>278293</v>
      </c>
      <c r="H15" s="30">
        <f>input!H19</f>
        <v>1.48</v>
      </c>
      <c r="I15" s="30">
        <f>input!I19</f>
        <v>1.48</v>
      </c>
      <c r="J15" s="30">
        <f>input!J19</f>
        <v>1.1599999999999999</v>
      </c>
      <c r="K15" s="29"/>
      <c r="L15" s="29"/>
      <c r="M15" s="22">
        <f t="shared" si="3"/>
        <v>11</v>
      </c>
      <c r="N15" s="21">
        <f t="shared" si="4"/>
        <v>194793</v>
      </c>
      <c r="O15" s="21">
        <f t="shared" si="2"/>
        <v>3.2000000000000008E-4</v>
      </c>
      <c r="P15" s="29"/>
      <c r="Q15" s="20"/>
      <c r="R15" s="20"/>
      <c r="S15" s="37"/>
      <c r="T15" s="20"/>
      <c r="U15" s="19"/>
      <c r="V15" s="20"/>
      <c r="W15" s="19"/>
      <c r="X15" s="20"/>
      <c r="Y15" s="19"/>
      <c r="Z15" s="20"/>
      <c r="AA15" s="20"/>
      <c r="AB15" s="20"/>
      <c r="AC15" s="20"/>
      <c r="AD15" s="38"/>
      <c r="AE15" s="38"/>
      <c r="AF15" s="38"/>
      <c r="AG15" s="38"/>
      <c r="AH15" s="38"/>
      <c r="AI15" s="38"/>
      <c r="AJ15" s="38"/>
    </row>
    <row r="16" spans="1:36">
      <c r="A16" s="20"/>
      <c r="B16" s="22">
        <f>input!B20</f>
        <v>500</v>
      </c>
      <c r="C16" s="22">
        <f>input!C20</f>
        <v>12</v>
      </c>
      <c r="D16" s="32">
        <f>input!D20</f>
        <v>20</v>
      </c>
      <c r="E16" s="21">
        <f>input!E20</f>
        <v>8269</v>
      </c>
      <c r="F16" s="32">
        <f>input!F20</f>
        <v>200</v>
      </c>
      <c r="G16" s="21">
        <f>input!G20</f>
        <v>274263</v>
      </c>
      <c r="H16" s="30">
        <f>input!H20</f>
        <v>1.48</v>
      </c>
      <c r="I16" s="30">
        <f>input!I20</f>
        <v>1.48</v>
      </c>
      <c r="J16" s="30">
        <f>input!J20</f>
        <v>1.1599999999999999</v>
      </c>
      <c r="K16" s="29"/>
      <c r="L16" s="29"/>
      <c r="M16" s="22">
        <f t="shared" si="3"/>
        <v>12</v>
      </c>
      <c r="N16" s="21">
        <f t="shared" si="4"/>
        <v>191573</v>
      </c>
      <c r="O16" s="21">
        <f t="shared" ref="O16:O48" si="5">(((H16+I16)/2)-J16)*0.001</f>
        <v>3.2000000000000008E-4</v>
      </c>
      <c r="P16" s="29"/>
      <c r="Q16" s="20"/>
      <c r="R16" s="20"/>
      <c r="S16" s="37"/>
      <c r="T16" s="20"/>
      <c r="U16" s="19"/>
      <c r="V16" s="20"/>
      <c r="W16" s="19"/>
      <c r="X16" s="20"/>
      <c r="Y16" s="19"/>
      <c r="Z16" s="20"/>
      <c r="AA16" s="20"/>
      <c r="AB16" s="20"/>
      <c r="AC16" s="20"/>
      <c r="AD16" s="38"/>
      <c r="AE16" s="38"/>
      <c r="AF16" s="38"/>
      <c r="AG16" s="38"/>
      <c r="AH16" s="38"/>
      <c r="AI16" s="38"/>
      <c r="AJ16" s="38"/>
    </row>
    <row r="17" spans="1:36">
      <c r="A17" s="20"/>
      <c r="B17" s="22">
        <f>input!B21</f>
        <v>600</v>
      </c>
      <c r="C17" s="22">
        <f>input!C21</f>
        <v>13</v>
      </c>
      <c r="D17" s="32">
        <f>input!D21</f>
        <v>20</v>
      </c>
      <c r="E17" s="21">
        <f>input!E21</f>
        <v>8323</v>
      </c>
      <c r="F17" s="32">
        <f>input!F21</f>
        <v>200</v>
      </c>
      <c r="G17" s="21">
        <f>input!G21</f>
        <v>305036</v>
      </c>
      <c r="H17" s="30">
        <f>input!H21</f>
        <v>1.48</v>
      </c>
      <c r="I17" s="30">
        <f>input!I21</f>
        <v>1.48</v>
      </c>
      <c r="J17" s="30">
        <f>input!J21</f>
        <v>1.1599999999999999</v>
      </c>
      <c r="K17" s="29"/>
      <c r="L17" s="29"/>
      <c r="M17" s="22">
        <f t="shared" si="3"/>
        <v>13</v>
      </c>
      <c r="N17" s="21">
        <f t="shared" si="4"/>
        <v>221806</v>
      </c>
      <c r="O17" s="21">
        <f t="shared" si="5"/>
        <v>3.2000000000000008E-4</v>
      </c>
      <c r="P17" s="29"/>
      <c r="Q17" s="20"/>
      <c r="R17" s="20"/>
      <c r="S17" s="37"/>
      <c r="T17" s="20"/>
      <c r="U17" s="19"/>
      <c r="V17" s="20"/>
      <c r="W17" s="19"/>
      <c r="X17" s="20"/>
      <c r="Y17" s="19"/>
      <c r="Z17" s="20"/>
      <c r="AA17" s="20"/>
      <c r="AB17" s="20"/>
      <c r="AC17" s="20"/>
      <c r="AD17" s="38"/>
      <c r="AE17" s="38"/>
      <c r="AF17" s="38"/>
      <c r="AG17" s="38"/>
      <c r="AH17" s="38"/>
      <c r="AI17" s="38"/>
      <c r="AJ17" s="38"/>
    </row>
    <row r="18" spans="1:36">
      <c r="A18" s="20"/>
      <c r="B18" s="22">
        <f>input!B22</f>
        <v>600</v>
      </c>
      <c r="C18" s="22">
        <f>input!C22</f>
        <v>14</v>
      </c>
      <c r="D18" s="32">
        <f>input!D22</f>
        <v>20</v>
      </c>
      <c r="E18" s="21">
        <f>input!E22</f>
        <v>8311</v>
      </c>
      <c r="F18" s="32">
        <f>input!F22</f>
        <v>200</v>
      </c>
      <c r="G18" s="21">
        <f>input!G22</f>
        <v>315832</v>
      </c>
      <c r="H18" s="30">
        <f>input!H22</f>
        <v>1.48</v>
      </c>
      <c r="I18" s="30">
        <f>input!I22</f>
        <v>1.48</v>
      </c>
      <c r="J18" s="30">
        <f>input!J22</f>
        <v>1.1599999999999999</v>
      </c>
      <c r="K18" s="29"/>
      <c r="L18" s="29"/>
      <c r="M18" s="22">
        <f t="shared" si="3"/>
        <v>14</v>
      </c>
      <c r="N18" s="21">
        <f t="shared" si="4"/>
        <v>232722</v>
      </c>
      <c r="O18" s="21">
        <f t="shared" si="5"/>
        <v>3.2000000000000008E-4</v>
      </c>
      <c r="P18" s="29"/>
      <c r="Q18" s="20"/>
      <c r="R18" s="20"/>
      <c r="S18" s="37"/>
      <c r="T18" s="20"/>
      <c r="U18" s="19"/>
      <c r="V18" s="20"/>
      <c r="W18" s="19"/>
      <c r="X18" s="20"/>
      <c r="Y18" s="19"/>
      <c r="Z18" s="20"/>
      <c r="AA18" s="20"/>
      <c r="AB18" s="20"/>
      <c r="AC18" s="20"/>
      <c r="AD18" s="38"/>
      <c r="AE18" s="38"/>
      <c r="AF18" s="38"/>
      <c r="AG18" s="38"/>
      <c r="AH18" s="38"/>
      <c r="AI18" s="38"/>
      <c r="AJ18" s="38"/>
    </row>
    <row r="19" spans="1:36" ht="12.75" customHeight="1">
      <c r="A19" s="20"/>
      <c r="B19" s="22">
        <f>input!B23</f>
        <v>800</v>
      </c>
      <c r="C19" s="22">
        <f>input!C23</f>
        <v>15</v>
      </c>
      <c r="D19" s="32">
        <f>input!D23</f>
        <v>20</v>
      </c>
      <c r="E19" s="21">
        <f>input!E23</f>
        <v>8336</v>
      </c>
      <c r="F19" s="32">
        <f>input!F23</f>
        <v>200</v>
      </c>
      <c r="G19" s="21">
        <f>input!G23</f>
        <v>334516</v>
      </c>
      <c r="H19" s="30">
        <f>input!H23</f>
        <v>1.48</v>
      </c>
      <c r="I19" s="30">
        <f>input!I23</f>
        <v>1.47</v>
      </c>
      <c r="J19" s="30">
        <f>input!J23</f>
        <v>1.1599999999999999</v>
      </c>
      <c r="K19" s="29"/>
      <c r="L19" s="29"/>
      <c r="M19" s="22">
        <f t="shared" si="3"/>
        <v>15</v>
      </c>
      <c r="N19" s="21">
        <f t="shared" si="4"/>
        <v>251156</v>
      </c>
      <c r="O19" s="21">
        <f t="shared" si="5"/>
        <v>3.1500000000000018E-4</v>
      </c>
      <c r="P19" s="29"/>
      <c r="Q19" s="20"/>
      <c r="R19" s="20"/>
      <c r="S19" s="37"/>
      <c r="T19" s="20"/>
      <c r="U19" s="19"/>
      <c r="V19" s="20"/>
      <c r="W19" s="19"/>
      <c r="X19" s="20"/>
      <c r="Y19" s="19"/>
      <c r="Z19" s="20"/>
      <c r="AA19" s="20"/>
      <c r="AB19" s="20"/>
      <c r="AC19" s="20"/>
      <c r="AD19" s="38"/>
      <c r="AE19" s="38"/>
      <c r="AF19" s="38"/>
      <c r="AG19" s="38"/>
      <c r="AH19" s="38"/>
      <c r="AI19" s="38"/>
      <c r="AJ19" s="38"/>
    </row>
    <row r="20" spans="1:36">
      <c r="A20" s="20"/>
      <c r="B20" s="22">
        <f>input!B24</f>
        <v>800</v>
      </c>
      <c r="C20" s="22">
        <f>input!C24</f>
        <v>16</v>
      </c>
      <c r="D20" s="32">
        <f>input!D24</f>
        <v>20</v>
      </c>
      <c r="E20" s="21">
        <f>input!E24</f>
        <v>8286</v>
      </c>
      <c r="F20" s="32">
        <f>input!F24</f>
        <v>200</v>
      </c>
      <c r="G20" s="21">
        <f>input!G24</f>
        <v>294219</v>
      </c>
      <c r="H20" s="30">
        <f>input!H24</f>
        <v>1.47</v>
      </c>
      <c r="I20" s="30">
        <f>input!I24</f>
        <v>1.48</v>
      </c>
      <c r="J20" s="30">
        <f>input!J24</f>
        <v>1.1599999999999999</v>
      </c>
      <c r="K20" s="29"/>
      <c r="L20" s="29"/>
      <c r="M20" s="22">
        <f t="shared" si="3"/>
        <v>16</v>
      </c>
      <c r="N20" s="21">
        <f t="shared" si="4"/>
        <v>211359</v>
      </c>
      <c r="O20" s="21">
        <f t="shared" si="5"/>
        <v>3.1500000000000018E-4</v>
      </c>
      <c r="P20" s="29"/>
      <c r="Q20" s="20"/>
      <c r="R20" s="20"/>
      <c r="S20" s="37"/>
      <c r="T20" s="20"/>
      <c r="U20" s="19"/>
      <c r="V20" s="20"/>
      <c r="W20" s="19"/>
      <c r="X20" s="20"/>
      <c r="Y20" s="19"/>
      <c r="Z20" s="20"/>
      <c r="AA20" s="20"/>
      <c r="AB20" s="20"/>
      <c r="AC20" s="20"/>
      <c r="AD20" s="38"/>
      <c r="AE20" s="38"/>
      <c r="AF20" s="38"/>
      <c r="AG20" s="38"/>
      <c r="AH20" s="38"/>
      <c r="AI20" s="38"/>
      <c r="AJ20" s="38"/>
    </row>
    <row r="21" spans="1:36">
      <c r="A21" s="20"/>
      <c r="B21" s="22">
        <f>input!B25</f>
        <v>0</v>
      </c>
      <c r="C21" s="22">
        <f>input!C25</f>
        <v>17</v>
      </c>
      <c r="D21" s="32">
        <f>input!D25</f>
        <v>20</v>
      </c>
      <c r="E21" s="21">
        <f>input!E25</f>
        <v>8322</v>
      </c>
      <c r="F21" s="32">
        <f>input!F25</f>
        <v>200</v>
      </c>
      <c r="G21" s="21">
        <f>input!G25</f>
        <v>282618</v>
      </c>
      <c r="H21" s="30">
        <f>input!H25</f>
        <v>1.48</v>
      </c>
      <c r="I21" s="30">
        <f>input!I25</f>
        <v>1.48</v>
      </c>
      <c r="J21" s="30">
        <f>input!J25</f>
        <v>1.1599999999999999</v>
      </c>
      <c r="K21" s="29"/>
      <c r="L21" s="29"/>
      <c r="M21" s="22">
        <f t="shared" ref="M21:M54" si="6">C21</f>
        <v>17</v>
      </c>
      <c r="N21" s="21">
        <f t="shared" ref="N21:N54" si="7">G21-((F21/D21)*E21)</f>
        <v>199398</v>
      </c>
      <c r="O21" s="21">
        <f t="shared" si="5"/>
        <v>3.2000000000000008E-4</v>
      </c>
      <c r="P21" s="29"/>
      <c r="Q21" s="20"/>
      <c r="R21" s="20"/>
      <c r="S21" s="37"/>
      <c r="T21" s="20"/>
      <c r="U21" s="19"/>
      <c r="V21" s="20"/>
      <c r="W21" s="19"/>
      <c r="X21" s="20"/>
      <c r="Y21" s="19"/>
      <c r="Z21" s="20"/>
      <c r="AA21" s="20"/>
      <c r="AB21" s="20"/>
      <c r="AC21" s="20"/>
      <c r="AD21" s="38"/>
      <c r="AE21" s="38"/>
      <c r="AF21" s="38"/>
      <c r="AG21" s="38"/>
      <c r="AH21" s="38"/>
      <c r="AI21" s="38"/>
      <c r="AJ21" s="38"/>
    </row>
    <row r="22" spans="1:36">
      <c r="A22" s="20"/>
      <c r="B22" s="22">
        <f>input!B26</f>
        <v>0</v>
      </c>
      <c r="C22" s="22">
        <f>input!C26</f>
        <v>18</v>
      </c>
      <c r="D22" s="32">
        <f>input!D26</f>
        <v>20</v>
      </c>
      <c r="E22" s="21">
        <f>input!E26</f>
        <v>8338</v>
      </c>
      <c r="F22" s="32">
        <f>input!F26</f>
        <v>200</v>
      </c>
      <c r="G22" s="21">
        <f>input!G26</f>
        <v>266535</v>
      </c>
      <c r="H22" s="30">
        <f>input!H26</f>
        <v>1.48</v>
      </c>
      <c r="I22" s="30">
        <f>input!I26</f>
        <v>1.48</v>
      </c>
      <c r="J22" s="30">
        <f>input!J26</f>
        <v>1.1599999999999999</v>
      </c>
      <c r="K22" s="29"/>
      <c r="L22" s="29"/>
      <c r="M22" s="22">
        <f t="shared" si="6"/>
        <v>18</v>
      </c>
      <c r="N22" s="21">
        <f t="shared" si="7"/>
        <v>183155</v>
      </c>
      <c r="O22" s="21">
        <f t="shared" si="5"/>
        <v>3.2000000000000008E-4</v>
      </c>
      <c r="P22" s="29"/>
      <c r="Q22" s="20"/>
      <c r="R22" s="20"/>
      <c r="S22" s="37"/>
      <c r="T22" s="20"/>
      <c r="U22" s="19"/>
      <c r="V22" s="20"/>
      <c r="W22" s="19"/>
      <c r="X22" s="20"/>
      <c r="Y22" s="19"/>
      <c r="Z22" s="20"/>
      <c r="AA22" s="20"/>
      <c r="AB22" s="20"/>
      <c r="AC22" s="20"/>
      <c r="AD22" s="38"/>
      <c r="AE22" s="38"/>
      <c r="AF22" s="38"/>
      <c r="AG22" s="38"/>
      <c r="AH22" s="38"/>
      <c r="AI22" s="38"/>
      <c r="AJ22" s="38"/>
    </row>
    <row r="23" spans="1:36">
      <c r="A23" s="20"/>
      <c r="B23" s="22">
        <f>input!B27</f>
        <v>1000</v>
      </c>
      <c r="C23" s="22">
        <f>input!C27</f>
        <v>19</v>
      </c>
      <c r="D23" s="32">
        <f>input!D27</f>
        <v>20</v>
      </c>
      <c r="E23" s="21">
        <f>input!E27</f>
        <v>8348</v>
      </c>
      <c r="F23" s="32">
        <f>input!F27</f>
        <v>200</v>
      </c>
      <c r="G23" s="21">
        <f>input!G27</f>
        <v>270782</v>
      </c>
      <c r="H23" s="30">
        <f>input!H27</f>
        <v>1.48</v>
      </c>
      <c r="I23" s="30">
        <f>input!I27</f>
        <v>1.47</v>
      </c>
      <c r="J23" s="30">
        <f>input!J27</f>
        <v>1.1599999999999999</v>
      </c>
      <c r="K23" s="29"/>
      <c r="L23" s="29"/>
      <c r="M23" s="22">
        <f t="shared" si="6"/>
        <v>19</v>
      </c>
      <c r="N23" s="21">
        <f t="shared" si="7"/>
        <v>187302</v>
      </c>
      <c r="O23" s="21">
        <f t="shared" si="5"/>
        <v>3.1500000000000018E-4</v>
      </c>
      <c r="P23" s="29"/>
      <c r="Q23" s="20"/>
      <c r="R23" s="20"/>
      <c r="S23" s="37"/>
      <c r="T23" s="20"/>
      <c r="U23" s="19"/>
      <c r="V23" s="20"/>
      <c r="W23" s="19"/>
      <c r="X23" s="20"/>
      <c r="Y23" s="19"/>
      <c r="Z23" s="20"/>
      <c r="AA23" s="20"/>
      <c r="AB23" s="20"/>
      <c r="AC23" s="20"/>
      <c r="AD23" s="38"/>
      <c r="AE23" s="38"/>
      <c r="AF23" s="38"/>
      <c r="AG23" s="38"/>
      <c r="AH23" s="38"/>
      <c r="AI23" s="38"/>
      <c r="AJ23" s="38"/>
    </row>
    <row r="24" spans="1:36">
      <c r="A24" s="20"/>
      <c r="B24" s="22">
        <f>input!B28</f>
        <v>1000</v>
      </c>
      <c r="C24" s="22">
        <f>input!C28</f>
        <v>20</v>
      </c>
      <c r="D24" s="32">
        <f>input!D28</f>
        <v>20</v>
      </c>
      <c r="E24" s="21">
        <f>input!E28</f>
        <v>8282</v>
      </c>
      <c r="F24" s="32">
        <f>input!F28</f>
        <v>200</v>
      </c>
      <c r="G24" s="21">
        <f>input!G28</f>
        <v>274021</v>
      </c>
      <c r="H24" s="30">
        <f>input!H28</f>
        <v>1.48</v>
      </c>
      <c r="I24" s="30">
        <f>input!I28</f>
        <v>1.48</v>
      </c>
      <c r="J24" s="30">
        <f>input!J28</f>
        <v>1.1599999999999999</v>
      </c>
      <c r="K24" s="29"/>
      <c r="L24" s="29"/>
      <c r="M24" s="22">
        <f t="shared" si="6"/>
        <v>20</v>
      </c>
      <c r="N24" s="21">
        <f t="shared" si="7"/>
        <v>191201</v>
      </c>
      <c r="O24" s="21">
        <f t="shared" si="5"/>
        <v>3.2000000000000008E-4</v>
      </c>
      <c r="P24" s="29"/>
      <c r="Q24" s="20"/>
      <c r="R24" s="20"/>
      <c r="S24" s="37"/>
      <c r="T24" s="20"/>
      <c r="U24" s="19"/>
      <c r="V24" s="20"/>
      <c r="W24" s="19"/>
      <c r="X24" s="20"/>
      <c r="Y24" s="19"/>
      <c r="Z24" s="20"/>
      <c r="AA24" s="20"/>
      <c r="AB24" s="20"/>
      <c r="AC24" s="20"/>
      <c r="AD24" s="38"/>
      <c r="AE24" s="38"/>
      <c r="AF24" s="38"/>
      <c r="AG24" s="38"/>
      <c r="AH24" s="38"/>
      <c r="AI24" s="38"/>
      <c r="AJ24" s="38"/>
    </row>
    <row r="25" spans="1:36">
      <c r="A25" s="20"/>
      <c r="B25" s="22">
        <f>input!B29</f>
        <v>1250</v>
      </c>
      <c r="C25" s="22">
        <f>input!C29</f>
        <v>21</v>
      </c>
      <c r="D25" s="32">
        <f>input!D29</f>
        <v>20</v>
      </c>
      <c r="E25" s="21">
        <f>input!E29</f>
        <v>8306</v>
      </c>
      <c r="F25" s="32">
        <f>input!F29</f>
        <v>200</v>
      </c>
      <c r="G25" s="21">
        <f>input!G29</f>
        <v>245051</v>
      </c>
      <c r="H25" s="30">
        <f>input!H29</f>
        <v>1.49</v>
      </c>
      <c r="I25" s="30">
        <f>input!I29</f>
        <v>1.48</v>
      </c>
      <c r="J25" s="30">
        <f>input!J29</f>
        <v>1.1599999999999999</v>
      </c>
      <c r="K25" s="29"/>
      <c r="L25" s="29"/>
      <c r="M25" s="22">
        <f t="shared" si="6"/>
        <v>21</v>
      </c>
      <c r="N25" s="21">
        <f t="shared" si="7"/>
        <v>161991</v>
      </c>
      <c r="O25" s="21">
        <f t="shared" si="5"/>
        <v>3.2499999999999999E-4</v>
      </c>
      <c r="P25" s="29"/>
      <c r="Q25" s="20"/>
      <c r="R25" s="20"/>
      <c r="S25" s="37"/>
      <c r="T25" s="20"/>
      <c r="U25" s="19"/>
      <c r="V25" s="20"/>
      <c r="W25" s="19"/>
      <c r="X25" s="20"/>
      <c r="Y25" s="19"/>
      <c r="Z25" s="20"/>
      <c r="AA25" s="20"/>
      <c r="AB25" s="20"/>
      <c r="AC25" s="20"/>
      <c r="AD25" s="38"/>
      <c r="AE25" s="38"/>
      <c r="AF25" s="38"/>
      <c r="AG25" s="38"/>
      <c r="AH25" s="38"/>
      <c r="AI25" s="38"/>
      <c r="AJ25" s="38"/>
    </row>
    <row r="26" spans="1:36">
      <c r="A26" s="20"/>
      <c r="B26" s="22">
        <f>input!B30</f>
        <v>1250</v>
      </c>
      <c r="C26" s="22">
        <f>input!C30</f>
        <v>22</v>
      </c>
      <c r="D26" s="32">
        <f>input!D30</f>
        <v>20</v>
      </c>
      <c r="E26" s="21">
        <f>input!E30</f>
        <v>8269</v>
      </c>
      <c r="F26" s="32">
        <f>input!F30</f>
        <v>200</v>
      </c>
      <c r="G26" s="21">
        <f>input!G30</f>
        <v>317069</v>
      </c>
      <c r="H26" s="30">
        <f>input!H30</f>
        <v>1.48</v>
      </c>
      <c r="I26" s="30">
        <f>input!I30</f>
        <v>1.49</v>
      </c>
      <c r="J26" s="30">
        <f>input!J30</f>
        <v>1.1599999999999999</v>
      </c>
      <c r="K26" s="29"/>
      <c r="L26" s="29"/>
      <c r="M26" s="22">
        <f t="shared" si="6"/>
        <v>22</v>
      </c>
      <c r="N26" s="21">
        <f t="shared" si="7"/>
        <v>234379</v>
      </c>
      <c r="O26" s="21">
        <f t="shared" si="5"/>
        <v>3.2499999999999999E-4</v>
      </c>
      <c r="P26" s="29"/>
      <c r="Q26" s="20"/>
      <c r="R26" s="20"/>
      <c r="S26" s="37"/>
      <c r="T26" s="20"/>
      <c r="U26" s="19"/>
      <c r="V26" s="20"/>
      <c r="W26" s="19"/>
      <c r="X26" s="20"/>
      <c r="Y26" s="19"/>
      <c r="Z26" s="20"/>
      <c r="AA26" s="20"/>
      <c r="AB26" s="20"/>
      <c r="AC26" s="20"/>
      <c r="AD26" s="38"/>
      <c r="AE26" s="38"/>
      <c r="AF26" s="38"/>
      <c r="AG26" s="38"/>
      <c r="AH26" s="38"/>
      <c r="AI26" s="38"/>
      <c r="AJ26" s="38"/>
    </row>
    <row r="27" spans="1:36">
      <c r="A27" s="20"/>
      <c r="B27" s="22">
        <f>input!B31</f>
        <v>1500</v>
      </c>
      <c r="C27" s="22">
        <f>input!C31</f>
        <v>23</v>
      </c>
      <c r="D27" s="32">
        <f>input!D31</f>
        <v>20</v>
      </c>
      <c r="E27" s="21">
        <f>input!E31</f>
        <v>8336</v>
      </c>
      <c r="F27" s="32">
        <f>input!F31</f>
        <v>200</v>
      </c>
      <c r="G27" s="21">
        <f>input!G31</f>
        <v>287790</v>
      </c>
      <c r="H27" s="30">
        <f>input!H31</f>
        <v>1.5</v>
      </c>
      <c r="I27" s="30">
        <f>input!I31</f>
        <v>1.49</v>
      </c>
      <c r="J27" s="30">
        <f>input!J31</f>
        <v>1.1599999999999999</v>
      </c>
      <c r="K27" s="29"/>
      <c r="L27" s="29"/>
      <c r="M27" s="22">
        <f t="shared" si="6"/>
        <v>23</v>
      </c>
      <c r="N27" s="21">
        <f t="shared" si="7"/>
        <v>204430</v>
      </c>
      <c r="O27" s="21">
        <f t="shared" si="5"/>
        <v>3.3500000000000017E-4</v>
      </c>
      <c r="P27" s="29"/>
      <c r="Q27" s="20"/>
      <c r="R27" s="20"/>
      <c r="S27" s="37"/>
      <c r="T27" s="20"/>
      <c r="U27" s="19"/>
      <c r="V27" s="20"/>
      <c r="W27" s="19"/>
      <c r="X27" s="20"/>
      <c r="Y27" s="19"/>
      <c r="Z27" s="20"/>
      <c r="AA27" s="20"/>
      <c r="AB27" s="20"/>
      <c r="AC27" s="20"/>
      <c r="AD27" s="38"/>
      <c r="AE27" s="38"/>
      <c r="AF27" s="38"/>
      <c r="AG27" s="38"/>
      <c r="AH27" s="38"/>
      <c r="AI27" s="38"/>
      <c r="AJ27" s="38"/>
    </row>
    <row r="28" spans="1:36">
      <c r="A28" s="20"/>
      <c r="B28" s="22">
        <f>input!B32</f>
        <v>1500</v>
      </c>
      <c r="C28" s="22">
        <f>input!C32</f>
        <v>24</v>
      </c>
      <c r="D28" s="32">
        <f>input!D32</f>
        <v>20</v>
      </c>
      <c r="E28" s="21">
        <f>input!E32</f>
        <v>8320</v>
      </c>
      <c r="F28" s="32">
        <f>input!F32</f>
        <v>200</v>
      </c>
      <c r="G28" s="21">
        <f>input!G32</f>
        <v>319878</v>
      </c>
      <c r="H28" s="30">
        <f>input!H32</f>
        <v>1.5</v>
      </c>
      <c r="I28" s="30">
        <f>input!I32</f>
        <v>1.5</v>
      </c>
      <c r="J28" s="30">
        <f>input!J32</f>
        <v>1.1599999999999999</v>
      </c>
      <c r="K28" s="29"/>
      <c r="L28" s="29"/>
      <c r="M28" s="22">
        <f t="shared" si="6"/>
        <v>24</v>
      </c>
      <c r="N28" s="21">
        <f t="shared" si="7"/>
        <v>236678</v>
      </c>
      <c r="O28" s="21">
        <f t="shared" si="5"/>
        <v>3.4000000000000008E-4</v>
      </c>
      <c r="P28" s="29"/>
      <c r="Q28" s="20"/>
      <c r="R28" s="20"/>
      <c r="S28" s="37"/>
      <c r="T28" s="20"/>
      <c r="U28" s="19"/>
      <c r="V28" s="20"/>
      <c r="W28" s="19"/>
      <c r="X28" s="20"/>
      <c r="Y28" s="19"/>
      <c r="Z28" s="20"/>
      <c r="AA28" s="20"/>
      <c r="AB28" s="20"/>
      <c r="AC28" s="20"/>
      <c r="AD28" s="38"/>
      <c r="AE28" s="38"/>
      <c r="AF28" s="38"/>
      <c r="AG28" s="38"/>
      <c r="AH28" s="38"/>
      <c r="AI28" s="38"/>
      <c r="AJ28" s="38"/>
    </row>
    <row r="29" spans="1:36">
      <c r="A29" s="20"/>
      <c r="B29" s="22">
        <f>input!B33</f>
        <v>1750</v>
      </c>
      <c r="C29" s="22">
        <f>input!C33</f>
        <v>25</v>
      </c>
      <c r="D29" s="32">
        <f>input!D33</f>
        <v>20</v>
      </c>
      <c r="E29" s="21">
        <f>input!E33</f>
        <v>8313</v>
      </c>
      <c r="F29" s="32">
        <f>input!F33</f>
        <v>200</v>
      </c>
      <c r="G29" s="21">
        <f>input!G33</f>
        <v>303022</v>
      </c>
      <c r="H29" s="30">
        <f>input!H33</f>
        <v>1.5</v>
      </c>
      <c r="I29" s="30">
        <f>input!I33</f>
        <v>1.49</v>
      </c>
      <c r="J29" s="30">
        <f>input!J33</f>
        <v>1.1599999999999999</v>
      </c>
      <c r="K29" s="29"/>
      <c r="L29" s="29"/>
      <c r="M29" s="22">
        <f t="shared" si="6"/>
        <v>25</v>
      </c>
      <c r="N29" s="21">
        <f t="shared" si="7"/>
        <v>219892</v>
      </c>
      <c r="O29" s="21">
        <f t="shared" si="5"/>
        <v>3.3500000000000017E-4</v>
      </c>
      <c r="P29" s="29"/>
      <c r="Q29" s="20"/>
      <c r="R29" s="20"/>
      <c r="S29" s="37"/>
      <c r="T29" s="20"/>
      <c r="U29" s="19"/>
      <c r="V29" s="20"/>
      <c r="W29" s="19"/>
      <c r="X29" s="20"/>
      <c r="Y29" s="19"/>
      <c r="Z29" s="20"/>
      <c r="AA29" s="20"/>
      <c r="AB29" s="20"/>
      <c r="AC29" s="20"/>
      <c r="AD29" s="38"/>
      <c r="AE29" s="38"/>
      <c r="AF29" s="38"/>
      <c r="AG29" s="38"/>
      <c r="AH29" s="38"/>
      <c r="AI29" s="38"/>
      <c r="AJ29" s="38"/>
    </row>
    <row r="30" spans="1:36">
      <c r="A30" s="20"/>
      <c r="B30" s="22">
        <f>input!B34</f>
        <v>1750</v>
      </c>
      <c r="C30" s="22">
        <f>input!C34</f>
        <v>26</v>
      </c>
      <c r="D30" s="32">
        <f>input!D34</f>
        <v>20</v>
      </c>
      <c r="E30" s="21">
        <f>input!E34</f>
        <v>8276</v>
      </c>
      <c r="F30" s="32">
        <f>input!F34</f>
        <v>200</v>
      </c>
      <c r="G30" s="21">
        <f>input!G34</f>
        <v>275280</v>
      </c>
      <c r="H30" s="30">
        <f>input!H34</f>
        <v>1.5</v>
      </c>
      <c r="I30" s="30">
        <f>input!I34</f>
        <v>1.5</v>
      </c>
      <c r="J30" s="30">
        <f>input!J34</f>
        <v>1.1599999999999999</v>
      </c>
      <c r="K30" s="29"/>
      <c r="L30" s="29"/>
      <c r="M30" s="22">
        <f t="shared" si="6"/>
        <v>26</v>
      </c>
      <c r="N30" s="21">
        <f t="shared" si="7"/>
        <v>192520</v>
      </c>
      <c r="O30" s="21">
        <f t="shared" si="5"/>
        <v>3.4000000000000008E-4</v>
      </c>
      <c r="P30" s="29"/>
      <c r="Q30" s="20"/>
      <c r="R30" s="20"/>
      <c r="S30" s="37"/>
      <c r="T30" s="20"/>
      <c r="U30" s="19"/>
      <c r="V30" s="20"/>
      <c r="W30" s="19"/>
      <c r="X30" s="20"/>
      <c r="Y30" s="19"/>
      <c r="Z30" s="20"/>
      <c r="AA30" s="20"/>
      <c r="AB30" s="20"/>
      <c r="AC30" s="20"/>
      <c r="AD30" s="38"/>
      <c r="AE30" s="38"/>
      <c r="AF30" s="38"/>
      <c r="AG30" s="38"/>
      <c r="AH30" s="38"/>
      <c r="AI30" s="38"/>
      <c r="AJ30" s="38"/>
    </row>
    <row r="31" spans="1:36">
      <c r="A31" s="20"/>
      <c r="B31" s="22">
        <f>input!B35</f>
        <v>2000</v>
      </c>
      <c r="C31" s="22">
        <f>input!C35</f>
        <v>27</v>
      </c>
      <c r="D31" s="32">
        <f>input!D35</f>
        <v>20</v>
      </c>
      <c r="E31" s="21">
        <f>input!E35</f>
        <v>8227</v>
      </c>
      <c r="F31" s="32">
        <f>input!F35</f>
        <v>200</v>
      </c>
      <c r="G31" s="21">
        <f>input!G35</f>
        <v>271210</v>
      </c>
      <c r="H31" s="30">
        <f>input!H35</f>
        <v>1.49</v>
      </c>
      <c r="I31" s="30">
        <f>input!I35</f>
        <v>1.5</v>
      </c>
      <c r="J31" s="30">
        <f>input!J35</f>
        <v>1.1599999999999999</v>
      </c>
      <c r="K31" s="29"/>
      <c r="L31" s="29"/>
      <c r="M31" s="22">
        <f t="shared" si="6"/>
        <v>27</v>
      </c>
      <c r="N31" s="21">
        <f t="shared" si="7"/>
        <v>188940</v>
      </c>
      <c r="O31" s="21">
        <f t="shared" si="5"/>
        <v>3.3500000000000017E-4</v>
      </c>
      <c r="P31" s="29"/>
      <c r="Q31" s="20"/>
      <c r="R31" s="20"/>
      <c r="S31" s="37"/>
      <c r="T31" s="20"/>
      <c r="U31" s="19"/>
      <c r="V31" s="20"/>
      <c r="W31" s="19"/>
      <c r="X31" s="20"/>
      <c r="Y31" s="19"/>
      <c r="Z31" s="20"/>
      <c r="AA31" s="20"/>
      <c r="AB31" s="20"/>
      <c r="AC31" s="20"/>
      <c r="AD31" s="38"/>
      <c r="AE31" s="38"/>
      <c r="AF31" s="38"/>
      <c r="AG31" s="38"/>
      <c r="AH31" s="38"/>
      <c r="AI31" s="38"/>
      <c r="AJ31" s="38"/>
    </row>
    <row r="32" spans="1:36">
      <c r="A32" s="20"/>
      <c r="B32" s="22">
        <f>input!B36</f>
        <v>2000</v>
      </c>
      <c r="C32" s="22">
        <f>input!C36</f>
        <v>28</v>
      </c>
      <c r="D32" s="32">
        <f>input!D36</f>
        <v>20</v>
      </c>
      <c r="E32" s="21">
        <f>input!E36</f>
        <v>8243</v>
      </c>
      <c r="F32" s="32">
        <f>input!F36</f>
        <v>200</v>
      </c>
      <c r="G32" s="21">
        <f>input!G36</f>
        <v>313668</v>
      </c>
      <c r="H32" s="30">
        <f>input!H36</f>
        <v>1.49</v>
      </c>
      <c r="I32" s="30">
        <f>input!I36</f>
        <v>1.49</v>
      </c>
      <c r="J32" s="30">
        <f>input!J36</f>
        <v>1.1599999999999999</v>
      </c>
      <c r="K32" s="29"/>
      <c r="L32" s="29"/>
      <c r="M32" s="22">
        <f t="shared" si="6"/>
        <v>28</v>
      </c>
      <c r="N32" s="21">
        <f t="shared" si="7"/>
        <v>231238</v>
      </c>
      <c r="O32" s="21">
        <f t="shared" si="5"/>
        <v>3.3000000000000005E-4</v>
      </c>
      <c r="P32" s="29"/>
      <c r="Q32" s="20"/>
      <c r="R32" s="20"/>
      <c r="S32" s="37"/>
      <c r="T32" s="20"/>
      <c r="U32" s="19"/>
      <c r="V32" s="20"/>
      <c r="W32" s="19"/>
      <c r="X32" s="20"/>
      <c r="Y32" s="19"/>
      <c r="Z32" s="20"/>
      <c r="AA32" s="20"/>
      <c r="AB32" s="20"/>
      <c r="AC32" s="20"/>
      <c r="AD32" s="38"/>
      <c r="AE32" s="38"/>
      <c r="AF32" s="38"/>
      <c r="AG32" s="38"/>
      <c r="AH32" s="38"/>
      <c r="AI32" s="38"/>
      <c r="AJ32" s="38"/>
    </row>
    <row r="33" spans="1:36">
      <c r="A33" s="20"/>
      <c r="B33" s="22">
        <f>input!B37</f>
        <v>2250</v>
      </c>
      <c r="C33" s="22">
        <f>input!C37</f>
        <v>29</v>
      </c>
      <c r="D33" s="32">
        <f>input!D37</f>
        <v>20</v>
      </c>
      <c r="E33" s="21">
        <f>input!E37</f>
        <v>8274</v>
      </c>
      <c r="F33" s="32">
        <f>input!F37</f>
        <v>200</v>
      </c>
      <c r="G33" s="21">
        <f>input!G37</f>
        <v>282009</v>
      </c>
      <c r="H33" s="30">
        <f>input!H37</f>
        <v>1.5</v>
      </c>
      <c r="I33" s="30">
        <f>input!I37</f>
        <v>1.49</v>
      </c>
      <c r="J33" s="30">
        <f>input!J37</f>
        <v>1.1599999999999999</v>
      </c>
      <c r="K33" s="29"/>
      <c r="L33" s="29"/>
      <c r="M33" s="22">
        <f t="shared" si="6"/>
        <v>29</v>
      </c>
      <c r="N33" s="21">
        <f t="shared" si="7"/>
        <v>199269</v>
      </c>
      <c r="O33" s="21">
        <f t="shared" si="5"/>
        <v>3.3500000000000017E-4</v>
      </c>
      <c r="P33" s="29"/>
      <c r="Q33" s="20"/>
      <c r="R33" s="20"/>
      <c r="S33" s="37"/>
      <c r="T33" s="20"/>
      <c r="U33" s="19"/>
      <c r="V33" s="20"/>
      <c r="W33" s="19"/>
      <c r="X33" s="20"/>
      <c r="Y33" s="19"/>
      <c r="Z33" s="20"/>
      <c r="AA33" s="20"/>
      <c r="AB33" s="20"/>
      <c r="AC33" s="20"/>
      <c r="AD33" s="38"/>
      <c r="AE33" s="38"/>
      <c r="AF33" s="38"/>
      <c r="AG33" s="38"/>
      <c r="AH33" s="38"/>
      <c r="AI33" s="38"/>
      <c r="AJ33" s="38"/>
    </row>
    <row r="34" spans="1:36">
      <c r="A34" s="20"/>
      <c r="B34" s="22">
        <f>input!B38</f>
        <v>2250</v>
      </c>
      <c r="C34" s="22">
        <f>input!C38</f>
        <v>30</v>
      </c>
      <c r="D34" s="32">
        <f>input!D38</f>
        <v>20</v>
      </c>
      <c r="E34" s="21">
        <f>input!E38</f>
        <v>8243</v>
      </c>
      <c r="F34" s="32">
        <f>input!F38</f>
        <v>200</v>
      </c>
      <c r="G34" s="21">
        <f>input!G38</f>
        <v>284650</v>
      </c>
      <c r="H34" s="30">
        <f>input!H38</f>
        <v>1.49</v>
      </c>
      <c r="I34" s="30">
        <f>input!I38</f>
        <v>1.5</v>
      </c>
      <c r="J34" s="30">
        <f>input!J38</f>
        <v>1.1599999999999999</v>
      </c>
      <c r="K34" s="29"/>
      <c r="L34" s="29"/>
      <c r="M34" s="22">
        <f t="shared" si="6"/>
        <v>30</v>
      </c>
      <c r="N34" s="21">
        <f t="shared" si="7"/>
        <v>202220</v>
      </c>
      <c r="O34" s="21">
        <f t="shared" si="5"/>
        <v>3.3500000000000017E-4</v>
      </c>
      <c r="P34" s="29"/>
      <c r="Q34" s="20"/>
      <c r="R34" s="20"/>
      <c r="S34" s="37"/>
      <c r="T34" s="20"/>
      <c r="U34" s="19"/>
      <c r="V34" s="20"/>
      <c r="W34" s="19"/>
      <c r="X34" s="20"/>
      <c r="Y34" s="19"/>
      <c r="Z34" s="20"/>
      <c r="AA34" s="20"/>
      <c r="AB34" s="20"/>
      <c r="AC34" s="20"/>
      <c r="AD34" s="38"/>
      <c r="AE34" s="38"/>
      <c r="AF34" s="38"/>
      <c r="AG34" s="38"/>
      <c r="AH34" s="38"/>
      <c r="AI34" s="38"/>
      <c r="AJ34" s="38"/>
    </row>
    <row r="35" spans="1:36">
      <c r="A35" s="20"/>
      <c r="B35" s="22">
        <f>input!B39</f>
        <v>2500</v>
      </c>
      <c r="C35" s="22">
        <f>input!C39</f>
        <v>31</v>
      </c>
      <c r="D35" s="32">
        <f>input!D39</f>
        <v>20</v>
      </c>
      <c r="E35" s="21">
        <f>input!E39</f>
        <v>8303</v>
      </c>
      <c r="F35" s="32">
        <f>input!F39</f>
        <v>200</v>
      </c>
      <c r="G35" s="21">
        <f>input!G39</f>
        <v>290649</v>
      </c>
      <c r="H35" s="30">
        <f>input!H39</f>
        <v>1.49</v>
      </c>
      <c r="I35" s="30">
        <f>input!I39</f>
        <v>1.49</v>
      </c>
      <c r="J35" s="30">
        <f>input!J39</f>
        <v>1.1599999999999999</v>
      </c>
      <c r="K35" s="29"/>
      <c r="L35" s="29"/>
      <c r="M35" s="22">
        <f t="shared" si="6"/>
        <v>31</v>
      </c>
      <c r="N35" s="21">
        <f t="shared" si="7"/>
        <v>207619</v>
      </c>
      <c r="O35" s="21">
        <f t="shared" si="5"/>
        <v>3.3000000000000005E-4</v>
      </c>
      <c r="P35" s="29"/>
      <c r="Q35" s="20"/>
      <c r="R35" s="20"/>
      <c r="S35" s="37"/>
      <c r="T35" s="20"/>
      <c r="U35" s="19"/>
      <c r="V35" s="20"/>
      <c r="W35" s="19"/>
      <c r="X35" s="20"/>
      <c r="Y35" s="19"/>
      <c r="Z35" s="20"/>
      <c r="AA35" s="20"/>
      <c r="AB35" s="20"/>
      <c r="AC35" s="20"/>
      <c r="AD35" s="38"/>
      <c r="AE35" s="38"/>
      <c r="AF35" s="38"/>
      <c r="AG35" s="38"/>
      <c r="AH35" s="38"/>
      <c r="AI35" s="38"/>
      <c r="AJ35" s="38"/>
    </row>
    <row r="36" spans="1:36">
      <c r="A36" s="20"/>
      <c r="B36" s="22">
        <f>input!B40</f>
        <v>2500</v>
      </c>
      <c r="C36" s="22">
        <f>input!C40</f>
        <v>32</v>
      </c>
      <c r="D36" s="32">
        <f>input!D40</f>
        <v>20</v>
      </c>
      <c r="E36" s="21">
        <f>input!E40</f>
        <v>8292</v>
      </c>
      <c r="F36" s="32">
        <f>input!F40</f>
        <v>200</v>
      </c>
      <c r="G36" s="21">
        <f>input!G40</f>
        <v>263130</v>
      </c>
      <c r="H36" s="30">
        <f>input!H40</f>
        <v>1.49</v>
      </c>
      <c r="I36" s="30">
        <f>input!I40</f>
        <v>1.49</v>
      </c>
      <c r="J36" s="30">
        <f>input!J40</f>
        <v>1.1599999999999999</v>
      </c>
      <c r="K36" s="29"/>
      <c r="L36" s="29"/>
      <c r="M36" s="22">
        <f t="shared" si="6"/>
        <v>32</v>
      </c>
      <c r="N36" s="21">
        <f t="shared" si="7"/>
        <v>180210</v>
      </c>
      <c r="O36" s="21">
        <f t="shared" si="5"/>
        <v>3.3000000000000005E-4</v>
      </c>
      <c r="P36" s="29"/>
      <c r="Q36" s="20"/>
      <c r="R36" s="20"/>
      <c r="S36" s="37"/>
      <c r="T36" s="20"/>
      <c r="U36" s="19"/>
      <c r="V36" s="20"/>
      <c r="W36" s="19"/>
      <c r="X36" s="20"/>
      <c r="Y36" s="19"/>
      <c r="Z36" s="20"/>
      <c r="AA36" s="20"/>
      <c r="AB36" s="20"/>
      <c r="AC36" s="20"/>
      <c r="AD36" s="38"/>
      <c r="AE36" s="38"/>
      <c r="AF36" s="38"/>
      <c r="AG36" s="38"/>
      <c r="AH36" s="38"/>
      <c r="AI36" s="38"/>
      <c r="AJ36" s="38"/>
    </row>
    <row r="37" spans="1:36">
      <c r="A37" s="20"/>
      <c r="B37" s="22">
        <f>input!B41</f>
        <v>0</v>
      </c>
      <c r="C37" s="22">
        <f>input!C41</f>
        <v>33</v>
      </c>
      <c r="D37" s="32">
        <f>input!D41</f>
        <v>20</v>
      </c>
      <c r="E37" s="21">
        <f>input!E41</f>
        <v>8296</v>
      </c>
      <c r="F37" s="32">
        <f>input!F41</f>
        <v>200</v>
      </c>
      <c r="G37" s="21">
        <f>input!G41</f>
        <v>311876</v>
      </c>
      <c r="H37" s="30">
        <f>input!H41</f>
        <v>1.5</v>
      </c>
      <c r="I37" s="30">
        <f>input!I41</f>
        <v>1.5</v>
      </c>
      <c r="J37" s="30">
        <f>input!J41</f>
        <v>1.1599999999999999</v>
      </c>
      <c r="K37" s="29"/>
      <c r="L37" s="29"/>
      <c r="M37" s="22">
        <f t="shared" si="6"/>
        <v>33</v>
      </c>
      <c r="N37" s="21">
        <f t="shared" si="7"/>
        <v>228916</v>
      </c>
      <c r="O37" s="21">
        <f t="shared" si="5"/>
        <v>3.4000000000000008E-4</v>
      </c>
      <c r="P37" s="29"/>
      <c r="Q37" s="20"/>
      <c r="R37" s="20"/>
      <c r="S37" s="37"/>
      <c r="T37" s="20"/>
      <c r="U37" s="19"/>
      <c r="V37" s="20"/>
      <c r="W37" s="19"/>
      <c r="X37" s="20"/>
      <c r="Y37" s="19"/>
      <c r="Z37" s="20"/>
      <c r="AA37" s="20"/>
      <c r="AB37" s="20"/>
      <c r="AC37" s="20"/>
      <c r="AD37" s="38"/>
      <c r="AE37" s="38"/>
      <c r="AF37" s="38"/>
      <c r="AG37" s="38"/>
      <c r="AH37" s="38"/>
      <c r="AI37" s="38"/>
      <c r="AJ37" s="38"/>
    </row>
    <row r="38" spans="1:36">
      <c r="A38" s="20"/>
      <c r="B38" s="22">
        <f>input!B42</f>
        <v>0</v>
      </c>
      <c r="C38" s="22">
        <f>input!C42</f>
        <v>34</v>
      </c>
      <c r="D38" s="32">
        <f>input!D42</f>
        <v>20</v>
      </c>
      <c r="E38" s="21">
        <f>input!E42</f>
        <v>8328</v>
      </c>
      <c r="F38" s="32">
        <f>input!F42</f>
        <v>200</v>
      </c>
      <c r="G38" s="21">
        <f>input!G42</f>
        <v>285681</v>
      </c>
      <c r="H38" s="30">
        <f>input!H42</f>
        <v>1.5</v>
      </c>
      <c r="I38" s="30">
        <f>input!I42</f>
        <v>1.5</v>
      </c>
      <c r="J38" s="30">
        <f>input!J42</f>
        <v>1.1599999999999999</v>
      </c>
      <c r="K38" s="29"/>
      <c r="L38" s="29"/>
      <c r="M38" s="22">
        <f t="shared" si="6"/>
        <v>34</v>
      </c>
      <c r="N38" s="21">
        <f t="shared" si="7"/>
        <v>202401</v>
      </c>
      <c r="O38" s="21">
        <f t="shared" si="5"/>
        <v>3.4000000000000008E-4</v>
      </c>
      <c r="P38" s="29"/>
      <c r="Q38" s="20"/>
      <c r="R38" s="20"/>
      <c r="S38" s="37"/>
      <c r="T38" s="20"/>
      <c r="U38" s="19"/>
      <c r="V38" s="20"/>
      <c r="W38" s="19"/>
      <c r="X38" s="20"/>
      <c r="Y38" s="19"/>
      <c r="Z38" s="20"/>
      <c r="AA38" s="20"/>
      <c r="AB38" s="20"/>
      <c r="AC38" s="20"/>
      <c r="AD38" s="38"/>
      <c r="AE38" s="38"/>
      <c r="AF38" s="38"/>
      <c r="AG38" s="38"/>
      <c r="AH38" s="38"/>
      <c r="AI38" s="38"/>
      <c r="AJ38" s="38"/>
    </row>
    <row r="39" spans="1:36">
      <c r="A39" s="20"/>
      <c r="B39" s="22">
        <f>input!B43</f>
        <v>3000</v>
      </c>
      <c r="C39" s="22">
        <f>input!C43</f>
        <v>35</v>
      </c>
      <c r="D39" s="32">
        <f>input!D43</f>
        <v>20</v>
      </c>
      <c r="E39" s="21">
        <f>input!E43</f>
        <v>8277</v>
      </c>
      <c r="F39" s="32">
        <f>input!F43</f>
        <v>200</v>
      </c>
      <c r="G39" s="21">
        <f>input!G43</f>
        <v>305793</v>
      </c>
      <c r="H39" s="30">
        <f>input!H43</f>
        <v>1.49</v>
      </c>
      <c r="I39" s="30">
        <f>input!I43</f>
        <v>1.48</v>
      </c>
      <c r="J39" s="30">
        <f>input!J43</f>
        <v>1.1599999999999999</v>
      </c>
      <c r="K39" s="29"/>
      <c r="L39" s="29"/>
      <c r="M39" s="22">
        <f t="shared" si="6"/>
        <v>35</v>
      </c>
      <c r="N39" s="21">
        <f t="shared" si="7"/>
        <v>223023</v>
      </c>
      <c r="O39" s="21">
        <f t="shared" si="5"/>
        <v>3.2499999999999999E-4</v>
      </c>
      <c r="P39" s="29"/>
      <c r="Q39" s="20"/>
      <c r="R39" s="20"/>
      <c r="S39" s="37"/>
      <c r="T39" s="20"/>
      <c r="U39" s="19"/>
      <c r="V39" s="20"/>
      <c r="W39" s="19"/>
      <c r="X39" s="20"/>
      <c r="Y39" s="19"/>
      <c r="Z39" s="20"/>
      <c r="AA39" s="20"/>
      <c r="AB39" s="20"/>
      <c r="AC39" s="20"/>
      <c r="AD39" s="38"/>
      <c r="AE39" s="38"/>
      <c r="AF39" s="38"/>
      <c r="AG39" s="38"/>
      <c r="AH39" s="38"/>
      <c r="AI39" s="38"/>
      <c r="AJ39" s="38"/>
    </row>
    <row r="40" spans="1:36">
      <c r="A40" s="20"/>
      <c r="B40" s="22">
        <f>input!B44</f>
        <v>3000</v>
      </c>
      <c r="C40" s="22">
        <f>input!C44</f>
        <v>36</v>
      </c>
      <c r="D40" s="32">
        <f>input!D44</f>
        <v>20</v>
      </c>
      <c r="E40" s="21">
        <f>input!E44</f>
        <v>8273</v>
      </c>
      <c r="F40" s="32">
        <f>input!F44</f>
        <v>200</v>
      </c>
      <c r="G40" s="21">
        <f>input!G44</f>
        <v>317832</v>
      </c>
      <c r="H40" s="30">
        <f>input!H44</f>
        <v>1.48</v>
      </c>
      <c r="I40" s="30">
        <f>input!I44</f>
        <v>1.48</v>
      </c>
      <c r="J40" s="30">
        <f>input!J44</f>
        <v>1.1599999999999999</v>
      </c>
      <c r="K40" s="29"/>
      <c r="L40" s="29"/>
      <c r="M40" s="22">
        <f t="shared" si="6"/>
        <v>36</v>
      </c>
      <c r="N40" s="21">
        <f t="shared" si="7"/>
        <v>235102</v>
      </c>
      <c r="O40" s="21">
        <f t="shared" si="5"/>
        <v>3.2000000000000008E-4</v>
      </c>
      <c r="P40" s="29"/>
      <c r="Q40" s="20"/>
      <c r="R40" s="20"/>
      <c r="S40" s="37"/>
      <c r="T40" s="20"/>
      <c r="U40" s="19"/>
      <c r="V40" s="20"/>
      <c r="W40" s="19"/>
      <c r="X40" s="20"/>
      <c r="Y40" s="19"/>
      <c r="Z40" s="20"/>
      <c r="AA40" s="20"/>
      <c r="AB40" s="20"/>
      <c r="AC40" s="20"/>
      <c r="AD40" s="38"/>
      <c r="AE40" s="38"/>
      <c r="AF40" s="38"/>
      <c r="AG40" s="38"/>
      <c r="AH40" s="38"/>
      <c r="AI40" s="38"/>
      <c r="AJ40" s="38"/>
    </row>
    <row r="41" spans="1:36">
      <c r="A41" s="20"/>
      <c r="B41" s="22">
        <f>input!B45</f>
        <v>3500</v>
      </c>
      <c r="C41" s="22">
        <f>input!C45</f>
        <v>37</v>
      </c>
      <c r="D41" s="32">
        <f>input!D45</f>
        <v>20</v>
      </c>
      <c r="E41" s="21">
        <f>input!E45</f>
        <v>8273</v>
      </c>
      <c r="F41" s="32">
        <f>input!F45</f>
        <v>200</v>
      </c>
      <c r="G41" s="21">
        <f>input!G45</f>
        <v>312450</v>
      </c>
      <c r="H41" s="30">
        <f>input!H45</f>
        <v>1.48</v>
      </c>
      <c r="I41" s="30">
        <f>input!I45</f>
        <v>1.48</v>
      </c>
      <c r="J41" s="30">
        <f>input!J45</f>
        <v>1.1599999999999999</v>
      </c>
      <c r="K41" s="29"/>
      <c r="L41" s="29"/>
      <c r="M41" s="22">
        <f t="shared" si="6"/>
        <v>37</v>
      </c>
      <c r="N41" s="21">
        <f t="shared" si="7"/>
        <v>229720</v>
      </c>
      <c r="O41" s="21">
        <f t="shared" si="5"/>
        <v>3.2000000000000008E-4</v>
      </c>
      <c r="P41" s="29"/>
      <c r="Q41" s="20"/>
      <c r="R41" s="20"/>
      <c r="S41" s="37"/>
      <c r="T41" s="20"/>
      <c r="U41" s="19"/>
      <c r="V41" s="20"/>
      <c r="W41" s="19"/>
      <c r="X41" s="20"/>
      <c r="Y41" s="19"/>
      <c r="Z41" s="20"/>
      <c r="AA41" s="20"/>
      <c r="AB41" s="20"/>
      <c r="AC41" s="20"/>
      <c r="AD41" s="38"/>
      <c r="AE41" s="38"/>
      <c r="AF41" s="38"/>
      <c r="AG41" s="38"/>
      <c r="AH41" s="38"/>
      <c r="AI41" s="38"/>
      <c r="AJ41" s="38"/>
    </row>
    <row r="42" spans="1:36">
      <c r="A42" s="20"/>
      <c r="B42" s="22">
        <f>input!B46</f>
        <v>3500</v>
      </c>
      <c r="C42" s="22">
        <f>input!C46</f>
        <v>38</v>
      </c>
      <c r="D42" s="32">
        <f>input!D46</f>
        <v>20</v>
      </c>
      <c r="E42" s="21">
        <f>input!E46</f>
        <v>8276</v>
      </c>
      <c r="F42" s="32">
        <f>input!F46</f>
        <v>200</v>
      </c>
      <c r="G42" s="21">
        <f>input!G46</f>
        <v>320298</v>
      </c>
      <c r="H42" s="30">
        <f>input!H46</f>
        <v>1.48</v>
      </c>
      <c r="I42" s="30">
        <f>input!I46</f>
        <v>1.48</v>
      </c>
      <c r="J42" s="30">
        <f>input!J46</f>
        <v>1.1599999999999999</v>
      </c>
      <c r="K42" s="29"/>
      <c r="L42" s="29"/>
      <c r="M42" s="22">
        <f t="shared" si="6"/>
        <v>38</v>
      </c>
      <c r="N42" s="21">
        <f t="shared" si="7"/>
        <v>237538</v>
      </c>
      <c r="O42" s="21">
        <f t="shared" si="5"/>
        <v>3.2000000000000008E-4</v>
      </c>
      <c r="P42" s="29"/>
      <c r="Q42" s="20"/>
      <c r="R42" s="20"/>
      <c r="S42" s="37"/>
      <c r="T42" s="20"/>
      <c r="U42" s="19"/>
      <c r="V42" s="20"/>
      <c r="W42" s="19"/>
      <c r="X42" s="20"/>
      <c r="Y42" s="19"/>
      <c r="Z42" s="20"/>
      <c r="AA42" s="20"/>
      <c r="AB42" s="20"/>
      <c r="AC42" s="20"/>
      <c r="AD42" s="38"/>
      <c r="AE42" s="38"/>
      <c r="AF42" s="38"/>
      <c r="AG42" s="38"/>
      <c r="AH42" s="38"/>
      <c r="AI42" s="38"/>
      <c r="AJ42" s="38"/>
    </row>
    <row r="43" spans="1:36">
      <c r="A43" s="20"/>
      <c r="B43" s="22">
        <f>input!B47</f>
        <v>4000</v>
      </c>
      <c r="C43" s="22">
        <f>input!C47</f>
        <v>39</v>
      </c>
      <c r="D43" s="32">
        <f>input!D47</f>
        <v>20</v>
      </c>
      <c r="E43" s="21">
        <f>input!E47</f>
        <v>8323</v>
      </c>
      <c r="F43" s="32">
        <f>input!F47</f>
        <v>200</v>
      </c>
      <c r="G43" s="21">
        <f>input!G47</f>
        <v>341044</v>
      </c>
      <c r="H43" s="30">
        <f>input!H47</f>
        <v>1.48</v>
      </c>
      <c r="I43" s="30">
        <f>input!I47</f>
        <v>1.48</v>
      </c>
      <c r="J43" s="30">
        <f>input!J47</f>
        <v>1.1599999999999999</v>
      </c>
      <c r="K43" s="29"/>
      <c r="L43" s="29"/>
      <c r="M43" s="22">
        <f t="shared" si="6"/>
        <v>39</v>
      </c>
      <c r="N43" s="21">
        <f t="shared" si="7"/>
        <v>257814</v>
      </c>
      <c r="O43" s="21">
        <f t="shared" si="5"/>
        <v>3.2000000000000008E-4</v>
      </c>
      <c r="P43" s="29"/>
      <c r="Q43" s="20"/>
      <c r="R43" s="20"/>
      <c r="S43" s="37"/>
      <c r="T43" s="20"/>
      <c r="U43" s="19"/>
      <c r="V43" s="20"/>
      <c r="W43" s="19"/>
      <c r="X43" s="20"/>
      <c r="Y43" s="19"/>
      <c r="Z43" s="20"/>
      <c r="AA43" s="20"/>
      <c r="AB43" s="20"/>
      <c r="AC43" s="20"/>
      <c r="AD43" s="38"/>
      <c r="AE43" s="38"/>
      <c r="AF43" s="38"/>
      <c r="AG43" s="38"/>
      <c r="AH43" s="38"/>
      <c r="AI43" s="38"/>
      <c r="AJ43" s="38"/>
    </row>
    <row r="44" spans="1:36">
      <c r="A44" s="20"/>
      <c r="B44" s="22">
        <f>input!B48</f>
        <v>4000</v>
      </c>
      <c r="C44" s="22">
        <f>input!C48</f>
        <v>40</v>
      </c>
      <c r="D44" s="32">
        <f>input!D48</f>
        <v>20</v>
      </c>
      <c r="E44" s="21">
        <f>input!E48</f>
        <v>8361</v>
      </c>
      <c r="F44" s="32">
        <f>input!F48</f>
        <v>200</v>
      </c>
      <c r="G44" s="21">
        <f>input!G48</f>
        <v>336786</v>
      </c>
      <c r="H44" s="30">
        <f>input!H48</f>
        <v>1.48</v>
      </c>
      <c r="I44" s="30">
        <f>input!I48</f>
        <v>1.48</v>
      </c>
      <c r="J44" s="30">
        <f>input!J48</f>
        <v>1.1599999999999999</v>
      </c>
      <c r="K44" s="29"/>
      <c r="L44" s="29"/>
      <c r="M44" s="22">
        <f t="shared" si="6"/>
        <v>40</v>
      </c>
      <c r="N44" s="21">
        <f t="shared" si="7"/>
        <v>253176</v>
      </c>
      <c r="O44" s="21">
        <f t="shared" si="5"/>
        <v>3.2000000000000008E-4</v>
      </c>
      <c r="P44" s="29"/>
      <c r="Q44" s="20"/>
      <c r="R44" s="20"/>
      <c r="S44" s="37"/>
      <c r="T44" s="20"/>
      <c r="U44" s="19"/>
      <c r="V44" s="20"/>
      <c r="W44" s="19"/>
      <c r="X44" s="20"/>
      <c r="Y44" s="19"/>
      <c r="Z44" s="20"/>
      <c r="AA44" s="20"/>
      <c r="AB44" s="20"/>
      <c r="AC44" s="20"/>
      <c r="AD44" s="38"/>
      <c r="AE44" s="38"/>
      <c r="AF44" s="38"/>
      <c r="AG44" s="38"/>
      <c r="AH44" s="38"/>
      <c r="AI44" s="38"/>
      <c r="AJ44" s="38"/>
    </row>
    <row r="45" spans="1:36">
      <c r="A45" s="20"/>
      <c r="B45" s="22">
        <f>input!B49</f>
        <v>4700</v>
      </c>
      <c r="C45" s="22">
        <f>input!C49</f>
        <v>41</v>
      </c>
      <c r="D45" s="32">
        <f>input!D49</f>
        <v>20</v>
      </c>
      <c r="E45" s="21">
        <f>input!E49</f>
        <v>8160</v>
      </c>
      <c r="F45" s="32">
        <f>input!F49</f>
        <v>200</v>
      </c>
      <c r="G45" s="21">
        <f>input!G49</f>
        <v>329495</v>
      </c>
      <c r="H45" s="30">
        <f>input!H49</f>
        <v>1.48</v>
      </c>
      <c r="I45" s="30">
        <f>input!I49</f>
        <v>1.49</v>
      </c>
      <c r="J45" s="30">
        <f>input!J49</f>
        <v>1.1599999999999999</v>
      </c>
      <c r="K45" s="29"/>
      <c r="L45" s="29"/>
      <c r="M45" s="22">
        <f t="shared" si="6"/>
        <v>41</v>
      </c>
      <c r="N45" s="21">
        <f t="shared" si="7"/>
        <v>247895</v>
      </c>
      <c r="O45" s="21">
        <f t="shared" si="5"/>
        <v>3.2499999999999999E-4</v>
      </c>
      <c r="P45" s="29"/>
      <c r="Q45" s="20"/>
      <c r="R45" s="20"/>
      <c r="S45" s="37"/>
      <c r="T45" s="20"/>
      <c r="U45" s="19"/>
      <c r="V45" s="20"/>
      <c r="W45" s="19"/>
      <c r="X45" s="20"/>
      <c r="Y45" s="19"/>
      <c r="Z45" s="20"/>
      <c r="AA45" s="20"/>
      <c r="AB45" s="20"/>
      <c r="AC45" s="20"/>
      <c r="AD45" s="38"/>
      <c r="AE45" s="38"/>
      <c r="AF45" s="38"/>
      <c r="AG45" s="38"/>
      <c r="AH45" s="38"/>
      <c r="AI45" s="38"/>
      <c r="AJ45" s="38"/>
    </row>
    <row r="46" spans="1:36">
      <c r="A46" s="20"/>
      <c r="B46" s="22">
        <f>input!B50</f>
        <v>4700</v>
      </c>
      <c r="C46" s="22">
        <f>input!C50</f>
        <v>42</v>
      </c>
      <c r="D46" s="32">
        <f>input!D50</f>
        <v>20</v>
      </c>
      <c r="E46" s="21">
        <f>input!E50</f>
        <v>8130</v>
      </c>
      <c r="F46" s="32">
        <f>input!F50</f>
        <v>200</v>
      </c>
      <c r="G46" s="21">
        <f>input!G50</f>
        <v>328363</v>
      </c>
      <c r="H46" s="30">
        <f>input!H50</f>
        <v>1.49</v>
      </c>
      <c r="I46" s="30">
        <f>input!I50</f>
        <v>1.48</v>
      </c>
      <c r="J46" s="30">
        <f>input!J50</f>
        <v>1.1599999999999999</v>
      </c>
      <c r="K46" s="29"/>
      <c r="L46" s="29"/>
      <c r="M46" s="22">
        <f t="shared" si="6"/>
        <v>42</v>
      </c>
      <c r="N46" s="21">
        <f t="shared" si="7"/>
        <v>247063</v>
      </c>
      <c r="O46" s="21">
        <f t="shared" si="5"/>
        <v>3.2499999999999999E-4</v>
      </c>
      <c r="P46" s="29"/>
      <c r="Q46" s="20"/>
      <c r="R46" s="20"/>
      <c r="S46" s="37"/>
      <c r="T46" s="20"/>
      <c r="U46" s="19"/>
      <c r="V46" s="20"/>
      <c r="W46" s="19"/>
      <c r="X46" s="20"/>
      <c r="Y46" s="19"/>
      <c r="Z46" s="20"/>
      <c r="AA46" s="20"/>
      <c r="AB46" s="20"/>
      <c r="AC46" s="20"/>
      <c r="AD46" s="38"/>
      <c r="AE46" s="38"/>
      <c r="AF46" s="38"/>
      <c r="AG46" s="38"/>
      <c r="AH46" s="38"/>
      <c r="AI46" s="38"/>
      <c r="AJ46" s="38"/>
    </row>
    <row r="47" spans="1:36">
      <c r="A47" s="20"/>
      <c r="B47" s="22">
        <f>input!B51</f>
        <v>5400</v>
      </c>
      <c r="C47" s="22">
        <f>input!C51</f>
        <v>43</v>
      </c>
      <c r="D47" s="32">
        <f>input!D51</f>
        <v>20</v>
      </c>
      <c r="E47" s="21">
        <f>input!E51</f>
        <v>8093</v>
      </c>
      <c r="F47" s="32">
        <f>input!F51</f>
        <v>200</v>
      </c>
      <c r="G47" s="21">
        <f>input!G51</f>
        <v>375577</v>
      </c>
      <c r="H47" s="30">
        <f>input!H51</f>
        <v>1.49</v>
      </c>
      <c r="I47" s="30">
        <f>input!I51</f>
        <v>1.49</v>
      </c>
      <c r="J47" s="30">
        <f>input!J51</f>
        <v>1.1599999999999999</v>
      </c>
      <c r="K47" s="29"/>
      <c r="L47" s="29"/>
      <c r="M47" s="22">
        <f t="shared" si="6"/>
        <v>43</v>
      </c>
      <c r="N47" s="21">
        <f t="shared" si="7"/>
        <v>294647</v>
      </c>
      <c r="O47" s="21">
        <f t="shared" si="5"/>
        <v>3.3000000000000005E-4</v>
      </c>
      <c r="P47" s="29"/>
      <c r="Q47" s="20"/>
      <c r="R47" s="20"/>
      <c r="S47" s="37"/>
      <c r="T47" s="20"/>
      <c r="U47" s="19"/>
      <c r="V47" s="20"/>
      <c r="W47" s="19"/>
      <c r="X47" s="20"/>
      <c r="Y47" s="19"/>
      <c r="Z47" s="20"/>
      <c r="AA47" s="20"/>
      <c r="AB47" s="20"/>
      <c r="AC47" s="20"/>
      <c r="AD47" s="38"/>
      <c r="AE47" s="38"/>
      <c r="AF47" s="38"/>
      <c r="AG47" s="38"/>
      <c r="AH47" s="38"/>
      <c r="AI47" s="38"/>
      <c r="AJ47" s="38"/>
    </row>
    <row r="48" spans="1:36">
      <c r="A48" s="20"/>
      <c r="B48" s="22">
        <f>input!B52</f>
        <v>5400</v>
      </c>
      <c r="C48" s="22">
        <f>input!C52</f>
        <v>44</v>
      </c>
      <c r="D48" s="32">
        <f>input!D52</f>
        <v>20</v>
      </c>
      <c r="E48" s="21">
        <f>input!E52</f>
        <v>8137</v>
      </c>
      <c r="F48" s="32">
        <f>input!F52</f>
        <v>200</v>
      </c>
      <c r="G48" s="21">
        <f>input!G52</f>
        <v>364208</v>
      </c>
      <c r="H48" s="30">
        <f>input!H52</f>
        <v>1.49</v>
      </c>
      <c r="I48" s="30">
        <f>input!I52</f>
        <v>1.49</v>
      </c>
      <c r="J48" s="30">
        <f>input!J52</f>
        <v>1.1599999999999999</v>
      </c>
      <c r="K48" s="29"/>
      <c r="L48" s="29"/>
      <c r="M48" s="22">
        <f t="shared" si="6"/>
        <v>44</v>
      </c>
      <c r="N48" s="21">
        <f t="shared" si="7"/>
        <v>282838</v>
      </c>
      <c r="O48" s="21">
        <f t="shared" si="5"/>
        <v>3.3000000000000005E-4</v>
      </c>
      <c r="P48" s="29"/>
      <c r="Q48" s="20"/>
      <c r="R48" s="20"/>
      <c r="S48" s="37"/>
      <c r="T48" s="20"/>
      <c r="U48" s="19"/>
      <c r="V48" s="20"/>
      <c r="W48" s="19"/>
      <c r="X48" s="20"/>
      <c r="Y48" s="19"/>
      <c r="Z48" s="20"/>
      <c r="AA48" s="20"/>
      <c r="AB48" s="20"/>
      <c r="AC48" s="20"/>
      <c r="AD48" s="38"/>
      <c r="AE48" s="38"/>
      <c r="AF48" s="38"/>
      <c r="AG48" s="38"/>
      <c r="AH48" s="38"/>
      <c r="AI48" s="38"/>
      <c r="AJ48" s="38"/>
    </row>
    <row r="49" spans="1:37">
      <c r="A49" s="20"/>
      <c r="B49" s="22">
        <f>input!B53</f>
        <v>6200</v>
      </c>
      <c r="C49" s="22">
        <f>input!C53</f>
        <v>45</v>
      </c>
      <c r="D49" s="32">
        <f>input!D53</f>
        <v>20</v>
      </c>
      <c r="E49" s="21">
        <f>input!E53</f>
        <v>8146</v>
      </c>
      <c r="F49" s="32">
        <f>input!F53</f>
        <v>200</v>
      </c>
      <c r="G49" s="21">
        <f>input!G53</f>
        <v>359600</v>
      </c>
      <c r="H49" s="30">
        <f>input!H53</f>
        <v>1.51</v>
      </c>
      <c r="I49" s="30">
        <f>input!I53</f>
        <v>1.51</v>
      </c>
      <c r="J49" s="30">
        <f>input!J53</f>
        <v>1.1599999999999999</v>
      </c>
      <c r="K49" s="29"/>
      <c r="L49" s="29"/>
      <c r="M49" s="22">
        <f t="shared" si="6"/>
        <v>45</v>
      </c>
      <c r="N49" s="21">
        <f t="shared" si="7"/>
        <v>278140</v>
      </c>
      <c r="O49" s="21">
        <f t="shared" ref="O49:O58" si="8">(((H49+I49)/2)-J49)*0.001</f>
        <v>3.500000000000001E-4</v>
      </c>
      <c r="P49" s="29"/>
      <c r="Q49" s="20"/>
      <c r="R49" s="20"/>
      <c r="S49" s="37"/>
      <c r="T49" s="20"/>
      <c r="U49" s="19"/>
      <c r="V49" s="20"/>
      <c r="W49" s="19"/>
      <c r="X49" s="20"/>
      <c r="Y49" s="19"/>
      <c r="Z49" s="20"/>
      <c r="AA49" s="20"/>
      <c r="AB49" s="20"/>
      <c r="AC49" s="20"/>
      <c r="AD49" s="38"/>
      <c r="AE49" s="38"/>
      <c r="AF49" s="38"/>
      <c r="AG49" s="38"/>
      <c r="AH49" s="38"/>
      <c r="AI49" s="38"/>
      <c r="AJ49" s="38"/>
    </row>
    <row r="50" spans="1:37">
      <c r="A50" s="20"/>
      <c r="B50" s="22">
        <f>input!B54</f>
        <v>6200</v>
      </c>
      <c r="C50" s="22">
        <f>input!C54</f>
        <v>46</v>
      </c>
      <c r="D50" s="32">
        <f>input!D54</f>
        <v>20</v>
      </c>
      <c r="E50" s="21">
        <f>input!E54</f>
        <v>8145</v>
      </c>
      <c r="F50" s="32">
        <f>input!F54</f>
        <v>200</v>
      </c>
      <c r="G50" s="21">
        <f>input!G54</f>
        <v>389414</v>
      </c>
      <c r="H50" s="30">
        <f>input!H54</f>
        <v>1.51</v>
      </c>
      <c r="I50" s="30">
        <f>input!I54</f>
        <v>1.51</v>
      </c>
      <c r="J50" s="30">
        <f>input!J54</f>
        <v>1.1599999999999999</v>
      </c>
      <c r="K50" s="29"/>
      <c r="L50" s="29"/>
      <c r="M50" s="22">
        <f t="shared" si="6"/>
        <v>46</v>
      </c>
      <c r="N50" s="21">
        <f t="shared" si="7"/>
        <v>307964</v>
      </c>
      <c r="O50" s="21">
        <f t="shared" si="8"/>
        <v>3.500000000000001E-4</v>
      </c>
      <c r="P50" s="29"/>
      <c r="Q50" s="20"/>
      <c r="R50" s="20"/>
      <c r="S50" s="37"/>
      <c r="T50" s="20"/>
      <c r="U50" s="19"/>
      <c r="V50" s="20"/>
      <c r="W50" s="19"/>
      <c r="X50" s="20"/>
      <c r="Y50" s="19"/>
      <c r="Z50" s="20"/>
      <c r="AA50" s="20"/>
      <c r="AB50" s="20"/>
      <c r="AC50" s="20"/>
      <c r="AD50" s="38"/>
      <c r="AE50" s="38"/>
      <c r="AF50" s="38"/>
      <c r="AG50" s="38"/>
      <c r="AH50" s="38"/>
      <c r="AI50" s="38"/>
      <c r="AJ50" s="38"/>
    </row>
    <row r="51" spans="1:37">
      <c r="A51" s="20"/>
      <c r="B51" s="22">
        <f>input!B55</f>
        <v>7000</v>
      </c>
      <c r="C51" s="22">
        <f>input!C55</f>
        <v>47</v>
      </c>
      <c r="D51" s="32">
        <f>input!D55</f>
        <v>20</v>
      </c>
      <c r="E51" s="21">
        <f>input!E55</f>
        <v>8143</v>
      </c>
      <c r="F51" s="32">
        <f>input!F55</f>
        <v>200</v>
      </c>
      <c r="G51" s="21">
        <f>input!G55</f>
        <v>361272</v>
      </c>
      <c r="H51" s="30">
        <f>input!H55</f>
        <v>1.52</v>
      </c>
      <c r="I51" s="30">
        <f>input!I55</f>
        <v>1.52</v>
      </c>
      <c r="J51" s="30">
        <f>input!J55</f>
        <v>1.1599999999999999</v>
      </c>
      <c r="K51" s="29"/>
      <c r="L51" s="29"/>
      <c r="M51" s="22">
        <f t="shared" si="6"/>
        <v>47</v>
      </c>
      <c r="N51" s="21">
        <f t="shared" si="7"/>
        <v>279842</v>
      </c>
      <c r="O51" s="21">
        <f t="shared" si="8"/>
        <v>3.6000000000000013E-4</v>
      </c>
      <c r="P51" s="29"/>
      <c r="Q51" s="20"/>
      <c r="R51" s="20"/>
      <c r="S51" s="37"/>
      <c r="T51" s="20"/>
      <c r="U51" s="19"/>
      <c r="V51" s="20"/>
      <c r="W51" s="19"/>
      <c r="X51" s="20"/>
      <c r="Y51" s="19"/>
      <c r="Z51" s="20"/>
      <c r="AA51" s="20"/>
      <c r="AB51" s="20"/>
      <c r="AC51" s="20"/>
      <c r="AD51" s="38"/>
      <c r="AE51" s="38"/>
      <c r="AF51" s="38"/>
      <c r="AG51" s="38"/>
      <c r="AH51" s="38"/>
      <c r="AI51" s="38"/>
      <c r="AJ51" s="38"/>
    </row>
    <row r="52" spans="1:37">
      <c r="A52" s="20"/>
      <c r="B52" s="22">
        <f>input!B56</f>
        <v>7000</v>
      </c>
      <c r="C52" s="22">
        <f>input!C56</f>
        <v>48</v>
      </c>
      <c r="D52" s="32">
        <f>input!D56</f>
        <v>20</v>
      </c>
      <c r="E52" s="21">
        <f>input!E56</f>
        <v>8184</v>
      </c>
      <c r="F52" s="32">
        <f>input!F56</f>
        <v>200</v>
      </c>
      <c r="G52" s="21">
        <f>input!G56</f>
        <v>390093</v>
      </c>
      <c r="H52" s="30">
        <f>input!H56</f>
        <v>1.52</v>
      </c>
      <c r="I52" s="30">
        <f>input!I56</f>
        <v>1.52</v>
      </c>
      <c r="J52" s="30">
        <f>input!J56</f>
        <v>1.1599999999999999</v>
      </c>
      <c r="K52" s="29"/>
      <c r="L52" s="29"/>
      <c r="M52" s="22">
        <f t="shared" si="6"/>
        <v>48</v>
      </c>
      <c r="N52" s="21">
        <f t="shared" si="7"/>
        <v>308253</v>
      </c>
      <c r="O52" s="21">
        <f t="shared" si="8"/>
        <v>3.6000000000000013E-4</v>
      </c>
      <c r="P52" s="29"/>
      <c r="Q52" s="20"/>
      <c r="R52" s="20"/>
      <c r="S52" s="37"/>
      <c r="T52" s="20"/>
      <c r="U52" s="19"/>
      <c r="V52" s="20"/>
      <c r="W52" s="19"/>
      <c r="X52" s="20"/>
      <c r="Y52" s="19"/>
      <c r="Z52" s="20"/>
      <c r="AA52" s="20"/>
      <c r="AB52" s="20"/>
      <c r="AC52" s="20"/>
      <c r="AD52" s="38"/>
      <c r="AE52" s="38"/>
      <c r="AF52" s="38"/>
      <c r="AG52" s="38"/>
      <c r="AH52" s="38"/>
      <c r="AI52" s="38"/>
      <c r="AJ52" s="38"/>
    </row>
    <row r="53" spans="1:37">
      <c r="A53" s="20"/>
      <c r="B53" s="22">
        <f>input!B57</f>
        <v>8000</v>
      </c>
      <c r="C53" s="22">
        <f>input!C57</f>
        <v>49</v>
      </c>
      <c r="D53" s="32">
        <f>input!D57</f>
        <v>20</v>
      </c>
      <c r="E53" s="21">
        <f>input!E57</f>
        <v>8175</v>
      </c>
      <c r="F53" s="32">
        <f>input!F57</f>
        <v>200</v>
      </c>
      <c r="G53" s="21">
        <f>input!G57</f>
        <v>375743</v>
      </c>
      <c r="H53" s="30">
        <f>input!H57</f>
        <v>1.52</v>
      </c>
      <c r="I53" s="30">
        <f>input!I57</f>
        <v>1.53</v>
      </c>
      <c r="J53" s="30">
        <f>input!J57</f>
        <v>1.1599999999999999</v>
      </c>
      <c r="K53" s="29"/>
      <c r="L53" s="29"/>
      <c r="M53" s="22">
        <f t="shared" si="6"/>
        <v>49</v>
      </c>
      <c r="N53" s="21">
        <f t="shared" si="7"/>
        <v>293993</v>
      </c>
      <c r="O53" s="21">
        <f t="shared" si="8"/>
        <v>3.6499999999999998E-4</v>
      </c>
      <c r="P53" s="29"/>
      <c r="Q53" s="20"/>
      <c r="R53" s="20"/>
      <c r="S53" s="37"/>
      <c r="T53" s="20"/>
      <c r="U53" s="19"/>
      <c r="V53" s="20"/>
      <c r="W53" s="19"/>
      <c r="X53" s="20"/>
      <c r="Y53" s="19"/>
      <c r="Z53" s="20"/>
      <c r="AA53" s="20"/>
      <c r="AB53" s="20"/>
      <c r="AC53" s="20"/>
      <c r="AD53" s="38"/>
      <c r="AE53" s="38"/>
      <c r="AF53" s="38"/>
      <c r="AG53" s="38"/>
      <c r="AH53" s="38"/>
      <c r="AI53" s="38"/>
      <c r="AJ53" s="38"/>
    </row>
    <row r="54" spans="1:37">
      <c r="A54" s="20"/>
      <c r="B54" s="22">
        <f>input!B58</f>
        <v>8000</v>
      </c>
      <c r="C54" s="22">
        <f>input!C58</f>
        <v>50</v>
      </c>
      <c r="D54" s="32">
        <f>input!D58</f>
        <v>20</v>
      </c>
      <c r="E54" s="21">
        <f>input!E58</f>
        <v>8210</v>
      </c>
      <c r="F54" s="32">
        <f>input!F58</f>
        <v>200</v>
      </c>
      <c r="G54" s="21">
        <f>input!G58</f>
        <v>397746</v>
      </c>
      <c r="H54" s="30">
        <f>input!H58</f>
        <v>1.53</v>
      </c>
      <c r="I54" s="30">
        <f>input!I58</f>
        <v>1.52</v>
      </c>
      <c r="J54" s="30">
        <f>input!J58</f>
        <v>1.1599999999999999</v>
      </c>
      <c r="K54" s="29"/>
      <c r="L54" s="29"/>
      <c r="M54" s="22">
        <f t="shared" si="6"/>
        <v>50</v>
      </c>
      <c r="N54" s="21">
        <f t="shared" si="7"/>
        <v>315646</v>
      </c>
      <c r="O54" s="21">
        <f t="shared" si="8"/>
        <v>3.6499999999999998E-4</v>
      </c>
      <c r="P54" s="29"/>
      <c r="Q54" s="20"/>
      <c r="R54" s="20"/>
      <c r="S54" s="37"/>
      <c r="T54" s="20"/>
      <c r="U54" s="19"/>
      <c r="V54" s="20"/>
      <c r="W54" s="19"/>
      <c r="X54" s="20"/>
      <c r="Y54" s="19"/>
      <c r="Z54" s="20"/>
      <c r="AA54" s="20"/>
      <c r="AB54" s="20"/>
      <c r="AC54" s="20"/>
      <c r="AD54" s="38"/>
      <c r="AE54" s="38"/>
      <c r="AF54" s="38"/>
      <c r="AG54" s="38"/>
      <c r="AH54" s="38"/>
      <c r="AI54" s="38"/>
      <c r="AJ54" s="38"/>
    </row>
    <row r="55" spans="1:37">
      <c r="A55" s="20"/>
      <c r="B55" s="22">
        <f>input!B59</f>
        <v>0</v>
      </c>
      <c r="C55" s="22">
        <f>input!C59</f>
        <v>51</v>
      </c>
      <c r="D55" s="32">
        <f>input!D59</f>
        <v>20</v>
      </c>
      <c r="E55" s="21">
        <f>input!E59</f>
        <v>8186</v>
      </c>
      <c r="F55" s="32">
        <f>input!F59</f>
        <v>200</v>
      </c>
      <c r="G55" s="21">
        <f>input!G59</f>
        <v>397974</v>
      </c>
      <c r="H55" s="30">
        <f>input!H59</f>
        <v>1.49</v>
      </c>
      <c r="I55" s="30">
        <f>input!I59</f>
        <v>1.49</v>
      </c>
      <c r="J55" s="30">
        <f>input!J59</f>
        <v>1.1599999999999999</v>
      </c>
      <c r="K55" s="29"/>
      <c r="L55" s="29"/>
      <c r="M55" s="22">
        <f>C55</f>
        <v>51</v>
      </c>
      <c r="N55" s="21">
        <f>G55-((F55/D55)*E55)</f>
        <v>316114</v>
      </c>
      <c r="O55" s="21">
        <f t="shared" si="8"/>
        <v>3.3000000000000005E-4</v>
      </c>
      <c r="P55" s="29"/>
      <c r="Q55" s="20"/>
      <c r="R55" s="20"/>
      <c r="S55" s="37"/>
      <c r="T55" s="20"/>
      <c r="U55" s="19"/>
      <c r="V55" s="20"/>
      <c r="W55" s="19"/>
      <c r="X55" s="20"/>
      <c r="Y55" s="19"/>
      <c r="Z55" s="20"/>
      <c r="AA55" s="20"/>
      <c r="AB55" s="20"/>
      <c r="AC55" s="20"/>
      <c r="AD55" s="38"/>
      <c r="AE55" s="38"/>
      <c r="AF55" s="38"/>
      <c r="AG55" s="38"/>
      <c r="AH55" s="38"/>
      <c r="AI55" s="38"/>
      <c r="AJ55" s="38"/>
    </row>
    <row r="56" spans="1:37">
      <c r="A56" s="20"/>
      <c r="B56" s="22">
        <f>input!B60</f>
        <v>0</v>
      </c>
      <c r="C56" s="22">
        <f>input!C60</f>
        <v>52</v>
      </c>
      <c r="D56" s="32">
        <f>input!D60</f>
        <v>20</v>
      </c>
      <c r="E56" s="21">
        <f>input!E60</f>
        <v>8220</v>
      </c>
      <c r="F56" s="32">
        <f>input!F60</f>
        <v>200</v>
      </c>
      <c r="G56" s="21">
        <f>input!G60</f>
        <v>411764</v>
      </c>
      <c r="H56" s="30">
        <f>input!H60</f>
        <v>1.49</v>
      </c>
      <c r="I56" s="30">
        <f>input!I60</f>
        <v>1.49</v>
      </c>
      <c r="J56" s="30">
        <f>input!J60</f>
        <v>1.1599999999999999</v>
      </c>
      <c r="K56" s="29"/>
      <c r="L56" s="29"/>
      <c r="M56" s="22">
        <f>C56</f>
        <v>52</v>
      </c>
      <c r="N56" s="21">
        <f>G56-((F56/D56)*E56)</f>
        <v>329564</v>
      </c>
      <c r="O56" s="21">
        <f t="shared" si="8"/>
        <v>3.3000000000000005E-4</v>
      </c>
      <c r="P56" s="29"/>
      <c r="Q56" s="20"/>
      <c r="R56" s="20"/>
      <c r="S56" s="37"/>
      <c r="T56" s="20"/>
      <c r="U56" s="19"/>
      <c r="V56" s="20"/>
      <c r="W56" s="19"/>
      <c r="X56" s="20"/>
      <c r="Y56" s="19"/>
      <c r="Z56" s="20"/>
      <c r="AA56" s="20"/>
      <c r="AB56" s="20"/>
      <c r="AC56" s="20"/>
      <c r="AD56" s="38"/>
      <c r="AE56" s="38"/>
      <c r="AF56" s="38"/>
      <c r="AG56" s="38"/>
      <c r="AH56" s="38"/>
      <c r="AI56" s="38"/>
      <c r="AJ56" s="38"/>
    </row>
    <row r="57" spans="1:37">
      <c r="A57" s="20"/>
      <c r="B57" s="22">
        <f>input!B61</f>
        <v>0</v>
      </c>
      <c r="C57" s="22">
        <f>input!C61</f>
        <v>53</v>
      </c>
      <c r="D57" s="32">
        <f>input!D61</f>
        <v>20</v>
      </c>
      <c r="E57" s="21">
        <f>input!E61</f>
        <v>0</v>
      </c>
      <c r="F57" s="32">
        <f>input!F61</f>
        <v>200</v>
      </c>
      <c r="G57" s="21">
        <f>input!G61</f>
        <v>0</v>
      </c>
      <c r="H57" s="30">
        <f>input!H61</f>
        <v>0</v>
      </c>
      <c r="I57" s="30">
        <f>input!I61</f>
        <v>0</v>
      </c>
      <c r="J57" s="30">
        <f>input!J61</f>
        <v>1.1599999999999999</v>
      </c>
      <c r="K57" s="29"/>
      <c r="L57" s="29"/>
      <c r="M57" s="22">
        <f>C57</f>
        <v>53</v>
      </c>
      <c r="N57" s="21">
        <f>G57-((F57/D57)*E57)</f>
        <v>0</v>
      </c>
      <c r="O57" s="21">
        <f t="shared" si="8"/>
        <v>-1.16E-3</v>
      </c>
      <c r="P57" s="29"/>
      <c r="Q57" s="20"/>
      <c r="R57" s="20"/>
      <c r="S57" s="37"/>
      <c r="T57" s="20"/>
      <c r="U57" s="19"/>
      <c r="V57" s="20"/>
      <c r="W57" s="19"/>
      <c r="X57" s="20"/>
      <c r="Y57" s="19"/>
      <c r="Z57" s="20"/>
      <c r="AA57" s="20"/>
      <c r="AB57" s="20"/>
      <c r="AC57" s="20"/>
      <c r="AD57" s="38"/>
      <c r="AE57" s="38"/>
      <c r="AF57" s="38"/>
      <c r="AG57" s="38"/>
      <c r="AH57" s="38"/>
      <c r="AI57" s="38"/>
      <c r="AJ57" s="38"/>
    </row>
    <row r="58" spans="1:37">
      <c r="A58" s="20"/>
      <c r="B58" s="22">
        <f>input!B62</f>
        <v>0</v>
      </c>
      <c r="C58" s="22">
        <f>input!C62</f>
        <v>54</v>
      </c>
      <c r="D58" s="32">
        <f>input!D62</f>
        <v>20</v>
      </c>
      <c r="E58" s="21">
        <f>input!E62</f>
        <v>0</v>
      </c>
      <c r="F58" s="32">
        <f>input!F62</f>
        <v>200</v>
      </c>
      <c r="G58" s="21">
        <f>input!G62</f>
        <v>0</v>
      </c>
      <c r="H58" s="30">
        <f>input!H62</f>
        <v>0</v>
      </c>
      <c r="I58" s="30">
        <f>input!I62</f>
        <v>0</v>
      </c>
      <c r="J58" s="30">
        <f>input!J62</f>
        <v>1.1599999999999999</v>
      </c>
      <c r="K58" s="29"/>
      <c r="L58" s="29"/>
      <c r="M58" s="22">
        <f>C58</f>
        <v>54</v>
      </c>
      <c r="N58" s="21">
        <f>G58-((F58/D58)*E58)</f>
        <v>0</v>
      </c>
      <c r="O58" s="21">
        <f t="shared" si="8"/>
        <v>-1.16E-3</v>
      </c>
      <c r="P58" s="29"/>
      <c r="Q58" s="20"/>
      <c r="R58" s="20"/>
      <c r="S58" s="37"/>
      <c r="T58" s="20"/>
      <c r="U58" s="19"/>
      <c r="V58" s="20"/>
      <c r="W58" s="19"/>
      <c r="X58" s="20"/>
      <c r="Y58" s="19"/>
      <c r="Z58" s="20"/>
      <c r="AA58" s="20"/>
      <c r="AB58" s="20"/>
      <c r="AC58" s="20"/>
      <c r="AD58" s="38"/>
      <c r="AE58" s="38"/>
      <c r="AF58" s="38"/>
      <c r="AG58" s="38"/>
      <c r="AH58" s="38"/>
      <c r="AI58" s="38"/>
      <c r="AJ58" s="38"/>
    </row>
    <row r="59" spans="1:37">
      <c r="B59" s="29"/>
      <c r="C59" s="20"/>
      <c r="D59" s="18"/>
      <c r="E59" s="19"/>
      <c r="F59" s="18"/>
      <c r="G59" s="19"/>
      <c r="H59" s="19"/>
      <c r="I59" s="19"/>
      <c r="J59" s="19"/>
      <c r="K59" s="19"/>
      <c r="L59" s="19"/>
      <c r="M59" s="19"/>
      <c r="N59" s="19"/>
      <c r="O59" s="19"/>
      <c r="P59" s="20"/>
      <c r="Q59" s="19"/>
      <c r="R59" s="19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38"/>
      <c r="AF59" s="38"/>
      <c r="AG59" s="39"/>
      <c r="AH59" s="38"/>
      <c r="AI59" s="38"/>
      <c r="AJ59" s="38"/>
      <c r="AK59" s="38"/>
    </row>
    <row r="60" spans="1:37">
      <c r="B60" s="29"/>
      <c r="C60" s="20"/>
      <c r="D60" s="18"/>
      <c r="E60" s="19"/>
      <c r="F60" s="18"/>
      <c r="G60" s="19"/>
      <c r="H60" s="19"/>
      <c r="I60" s="19"/>
      <c r="J60" s="19"/>
      <c r="K60" s="19"/>
      <c r="L60" s="19"/>
      <c r="M60" s="19"/>
      <c r="N60" s="20"/>
      <c r="O60" s="19"/>
      <c r="P60" s="20"/>
      <c r="Q60" s="19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38"/>
      <c r="AE60" s="39"/>
      <c r="AF60" s="39"/>
      <c r="AG60" s="38"/>
      <c r="AH60" s="38"/>
      <c r="AI60" s="38"/>
      <c r="AJ60" s="38"/>
    </row>
    <row r="61" spans="1:37">
      <c r="A61" s="20"/>
      <c r="B61" s="122" t="s">
        <v>15</v>
      </c>
      <c r="C61" s="122"/>
      <c r="D61" s="18"/>
      <c r="E61" s="19"/>
      <c r="F61" s="18"/>
      <c r="G61" s="19"/>
      <c r="H61" s="19"/>
      <c r="I61" s="122" t="s">
        <v>23</v>
      </c>
      <c r="J61" s="122"/>
      <c r="K61" s="125"/>
      <c r="L61" s="19"/>
      <c r="M61" s="19"/>
      <c r="N61" s="19"/>
      <c r="O61" s="19"/>
      <c r="P61" s="20"/>
      <c r="Q61" s="20"/>
      <c r="R61" s="20"/>
      <c r="S61" s="20"/>
      <c r="T61" s="20"/>
      <c r="U61" s="20"/>
      <c r="V61" s="20"/>
      <c r="W61" s="20"/>
      <c r="X61" s="20"/>
      <c r="Y61" s="38"/>
      <c r="Z61" s="39"/>
      <c r="AA61" s="39"/>
      <c r="AB61" s="38"/>
      <c r="AC61" s="38"/>
      <c r="AD61" s="38"/>
      <c r="AE61" s="38"/>
    </row>
    <row r="62" spans="1:37">
      <c r="A62" s="20"/>
      <c r="B62" s="20"/>
      <c r="C62" s="19"/>
      <c r="D62" s="18"/>
      <c r="E62" s="21" t="s">
        <v>27</v>
      </c>
      <c r="F62" s="18"/>
      <c r="G62" s="21" t="s">
        <v>28</v>
      </c>
      <c r="H62" s="20"/>
      <c r="I62" s="20"/>
      <c r="J62" s="20"/>
      <c r="K62" s="19"/>
      <c r="L62" s="22" t="s">
        <v>24</v>
      </c>
      <c r="M62" s="22" t="s">
        <v>26</v>
      </c>
      <c r="N62" s="20"/>
      <c r="O62" s="19"/>
      <c r="P62" s="20"/>
      <c r="Q62" s="20"/>
      <c r="R62" s="20"/>
      <c r="S62" s="20"/>
      <c r="T62" s="20"/>
      <c r="U62" s="20"/>
      <c r="V62" s="20"/>
      <c r="W62" s="20"/>
      <c r="X62" s="38"/>
      <c r="Y62" s="39"/>
      <c r="Z62" s="39"/>
      <c r="AA62" s="38"/>
      <c r="AB62" s="38"/>
      <c r="AC62" s="38"/>
      <c r="AD62" s="38"/>
    </row>
    <row r="63" spans="1:37">
      <c r="A63" s="20"/>
      <c r="B63" s="20"/>
      <c r="C63" s="19"/>
      <c r="D63" s="18"/>
      <c r="E63" s="21">
        <f t="shared" ref="E63:E76" si="9">O5</f>
        <v>3.2000000000000008E-4</v>
      </c>
      <c r="F63" s="31">
        <f t="shared" ref="F63:F76" si="10">C5</f>
        <v>1</v>
      </c>
      <c r="G63" s="21">
        <f>((E63*$C$66)/(kb*T))*0.000001</f>
        <v>10551357768214.871</v>
      </c>
      <c r="H63" s="20"/>
      <c r="I63" s="20"/>
      <c r="J63" s="19"/>
      <c r="K63" s="31">
        <f>C5</f>
        <v>1</v>
      </c>
      <c r="L63" s="21">
        <f>N5*alfa</f>
        <v>2.4403963011889038E-10</v>
      </c>
      <c r="M63" s="21">
        <f t="shared" ref="M63:M74" si="11">L63*$J$67</f>
        <v>1522807291.9418759</v>
      </c>
      <c r="N63" s="20"/>
      <c r="O63" s="19"/>
      <c r="P63" s="20"/>
      <c r="Q63" s="20"/>
      <c r="R63" s="20"/>
      <c r="S63" s="20"/>
      <c r="T63" s="20"/>
      <c r="U63" s="20"/>
      <c r="V63" s="20"/>
      <c r="W63" s="20"/>
      <c r="X63" s="38"/>
      <c r="Y63" s="41"/>
      <c r="Z63" s="39"/>
      <c r="AA63" s="38"/>
      <c r="AB63" s="38"/>
      <c r="AC63" s="38"/>
      <c r="AD63" s="38"/>
    </row>
    <row r="64" spans="1:37">
      <c r="A64" s="20"/>
      <c r="B64" s="20"/>
      <c r="C64" s="19"/>
      <c r="D64" s="18"/>
      <c r="E64" s="21">
        <f t="shared" si="9"/>
        <v>3.2000000000000008E-4</v>
      </c>
      <c r="F64" s="31">
        <f t="shared" si="10"/>
        <v>2</v>
      </c>
      <c r="G64" s="21">
        <f t="shared" ref="G64:G73" si="12">((E64*$C$66)/(kb*T))*0.000001</f>
        <v>10551357768214.871</v>
      </c>
      <c r="H64" s="20"/>
      <c r="I64" s="20" t="s">
        <v>32</v>
      </c>
      <c r="J64" s="74">
        <f>1/757000000000000</f>
        <v>1.3210039630118891E-15</v>
      </c>
      <c r="K64" s="31">
        <f t="shared" ref="K64:K72" si="13">C6</f>
        <v>2</v>
      </c>
      <c r="L64" s="21">
        <f t="shared" ref="L64:L71" si="14">N6*alfa</f>
        <v>3.3771598414795248E-10</v>
      </c>
      <c r="M64" s="21">
        <f t="shared" si="11"/>
        <v>2107347741.0832233</v>
      </c>
      <c r="N64" s="20"/>
      <c r="O64" s="19"/>
      <c r="P64" s="20"/>
      <c r="Q64" s="20"/>
      <c r="R64" s="20"/>
      <c r="S64" s="20"/>
      <c r="T64" s="20"/>
      <c r="U64" s="20"/>
      <c r="V64" s="20"/>
      <c r="W64" s="20"/>
      <c r="X64" s="38"/>
      <c r="Y64" s="41"/>
      <c r="Z64" s="39"/>
      <c r="AA64" s="38"/>
      <c r="AB64" s="38"/>
      <c r="AC64" s="38"/>
      <c r="AD64" s="38"/>
    </row>
    <row r="65" spans="1:34">
      <c r="A65" s="20"/>
      <c r="B65" s="20"/>
      <c r="C65" s="19"/>
      <c r="D65" s="18"/>
      <c r="E65" s="21">
        <f t="shared" si="9"/>
        <v>3.3000000000000005E-4</v>
      </c>
      <c r="F65" s="31">
        <f t="shared" si="10"/>
        <v>3</v>
      </c>
      <c r="G65" s="21">
        <f t="shared" si="12"/>
        <v>10881087698471.586</v>
      </c>
      <c r="H65" s="20"/>
      <c r="I65" s="20"/>
      <c r="J65" s="19"/>
      <c r="K65" s="31">
        <f t="shared" si="13"/>
        <v>3</v>
      </c>
      <c r="L65" s="21">
        <f t="shared" si="14"/>
        <v>2.1553896961690888E-10</v>
      </c>
      <c r="M65" s="21">
        <f t="shared" si="11"/>
        <v>1344963170.4095113</v>
      </c>
      <c r="N65" s="20"/>
      <c r="O65" s="19"/>
      <c r="P65" s="20"/>
      <c r="Q65" s="20"/>
      <c r="R65" s="20"/>
      <c r="S65" s="20"/>
      <c r="T65" s="20"/>
      <c r="U65" s="20"/>
      <c r="V65" s="20"/>
      <c r="W65" s="20"/>
      <c r="X65" s="38"/>
      <c r="Y65" s="41"/>
      <c r="Z65" s="39"/>
      <c r="AA65" s="38"/>
      <c r="AB65" s="38"/>
      <c r="AC65" s="38"/>
      <c r="AD65" s="38"/>
    </row>
    <row r="66" spans="1:34">
      <c r="A66" s="20"/>
      <c r="B66" s="20" t="s">
        <v>17</v>
      </c>
      <c r="C66" s="19">
        <v>133.32300000000001</v>
      </c>
      <c r="D66" s="18" t="s">
        <v>18</v>
      </c>
      <c r="E66" s="21">
        <f t="shared" si="9"/>
        <v>3.3000000000000005E-4</v>
      </c>
      <c r="F66" s="31">
        <f t="shared" si="10"/>
        <v>4</v>
      </c>
      <c r="G66" s="21">
        <f t="shared" si="12"/>
        <v>10881087698471.586</v>
      </c>
      <c r="H66" s="20"/>
      <c r="I66" s="20"/>
      <c r="J66" s="19"/>
      <c r="K66" s="31">
        <f t="shared" si="13"/>
        <v>4</v>
      </c>
      <c r="L66" s="21">
        <f t="shared" si="14"/>
        <v>2.5191017173051519E-10</v>
      </c>
      <c r="M66" s="21">
        <f t="shared" si="11"/>
        <v>1571919471.5984147</v>
      </c>
      <c r="N66" s="20"/>
      <c r="O66" s="19"/>
      <c r="P66" s="20"/>
      <c r="Q66" s="20"/>
      <c r="R66" s="20"/>
      <c r="S66" s="20"/>
      <c r="T66" s="20"/>
      <c r="U66" s="20"/>
      <c r="V66" s="20"/>
      <c r="W66" s="20"/>
      <c r="X66" s="38"/>
      <c r="Y66" s="41"/>
      <c r="Z66" s="39"/>
      <c r="AA66" s="38"/>
      <c r="AB66" s="38"/>
      <c r="AC66" s="38"/>
      <c r="AD66" s="38"/>
    </row>
    <row r="67" spans="1:34">
      <c r="A67" s="20"/>
      <c r="B67" s="20"/>
      <c r="C67" s="19"/>
      <c r="D67" s="18"/>
      <c r="E67" s="21">
        <f t="shared" si="9"/>
        <v>3.3000000000000005E-4</v>
      </c>
      <c r="F67" s="31">
        <f t="shared" si="10"/>
        <v>5</v>
      </c>
      <c r="G67" s="21">
        <f t="shared" si="12"/>
        <v>10881087698471.586</v>
      </c>
      <c r="H67" s="20"/>
      <c r="I67" s="20" t="s">
        <v>25</v>
      </c>
      <c r="J67" s="19">
        <v>6.24E+18</v>
      </c>
      <c r="K67" s="31">
        <f t="shared" si="13"/>
        <v>5</v>
      </c>
      <c r="L67" s="21">
        <f t="shared" si="14"/>
        <v>2.9831836195508588E-10</v>
      </c>
      <c r="M67" s="21">
        <f t="shared" si="11"/>
        <v>1861506578.599736</v>
      </c>
      <c r="N67" s="20"/>
      <c r="O67" s="19"/>
      <c r="P67" s="20"/>
      <c r="Q67" s="20"/>
      <c r="R67" s="20"/>
      <c r="S67" s="20"/>
      <c r="T67" s="20"/>
      <c r="U67" s="20"/>
      <c r="V67" s="20"/>
      <c r="W67" s="20"/>
      <c r="X67" s="38"/>
      <c r="Y67" s="41"/>
      <c r="Z67" s="39"/>
      <c r="AA67" s="38"/>
      <c r="AB67" s="38"/>
      <c r="AC67" s="38"/>
      <c r="AD67" s="38"/>
    </row>
    <row r="68" spans="1:34">
      <c r="A68" s="20"/>
      <c r="B68" s="20"/>
      <c r="C68" s="19"/>
      <c r="D68" s="18"/>
      <c r="E68" s="21">
        <f t="shared" si="9"/>
        <v>3.3000000000000005E-4</v>
      </c>
      <c r="F68" s="31">
        <f t="shared" si="10"/>
        <v>6</v>
      </c>
      <c r="G68" s="21">
        <f t="shared" si="12"/>
        <v>10881087698471.586</v>
      </c>
      <c r="H68" s="20"/>
      <c r="I68" s="20"/>
      <c r="J68" s="19"/>
      <c r="K68" s="31">
        <f t="shared" si="13"/>
        <v>6</v>
      </c>
      <c r="L68" s="21">
        <f t="shared" si="14"/>
        <v>2.2693923381770147E-10</v>
      </c>
      <c r="M68" s="21">
        <f t="shared" si="11"/>
        <v>1416100819.0224571</v>
      </c>
      <c r="N68" s="20"/>
      <c r="O68" s="19"/>
      <c r="P68" s="20"/>
      <c r="Q68" s="20"/>
      <c r="R68" s="20"/>
      <c r="S68" s="20"/>
      <c r="T68" s="20"/>
      <c r="U68" s="20"/>
      <c r="V68" s="20"/>
      <c r="W68" s="20"/>
      <c r="X68" s="38"/>
      <c r="Y68" s="38"/>
      <c r="Z68" s="38"/>
      <c r="AA68" s="38"/>
      <c r="AB68" s="38"/>
      <c r="AC68" s="39"/>
      <c r="AD68" s="39"/>
      <c r="AE68" s="38"/>
      <c r="AF68" s="38"/>
      <c r="AG68" s="38"/>
      <c r="AH68" s="38"/>
    </row>
    <row r="69" spans="1:34">
      <c r="A69" s="20"/>
      <c r="B69" s="33" t="s">
        <v>19</v>
      </c>
      <c r="C69" s="34">
        <v>1.3800000000000001E-23</v>
      </c>
      <c r="D69" s="35" t="s">
        <v>20</v>
      </c>
      <c r="E69" s="21">
        <f t="shared" si="9"/>
        <v>3.3000000000000005E-4</v>
      </c>
      <c r="F69" s="31">
        <f t="shared" si="10"/>
        <v>7</v>
      </c>
      <c r="G69" s="21">
        <f t="shared" si="12"/>
        <v>10881087698471.586</v>
      </c>
      <c r="H69" s="20"/>
      <c r="I69" s="20"/>
      <c r="J69" s="19"/>
      <c r="K69" s="31">
        <f t="shared" si="13"/>
        <v>7</v>
      </c>
      <c r="L69" s="21">
        <f t="shared" si="14"/>
        <v>2.2343064729194188E-10</v>
      </c>
      <c r="M69" s="21">
        <f t="shared" si="11"/>
        <v>1394207239.1017175</v>
      </c>
      <c r="N69" s="20"/>
      <c r="O69" s="19"/>
      <c r="P69" s="20"/>
      <c r="Q69" s="20"/>
      <c r="R69" s="20"/>
      <c r="S69" s="20"/>
      <c r="T69" s="20"/>
      <c r="U69" s="20"/>
      <c r="V69" s="20"/>
      <c r="W69" s="20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</row>
    <row r="70" spans="1:34">
      <c r="A70" s="20"/>
      <c r="B70" s="33" t="s">
        <v>21</v>
      </c>
      <c r="C70" s="34">
        <v>293</v>
      </c>
      <c r="D70" s="35" t="s">
        <v>22</v>
      </c>
      <c r="E70" s="21">
        <f t="shared" si="9"/>
        <v>3.3000000000000005E-4</v>
      </c>
      <c r="F70" s="31">
        <f t="shared" si="10"/>
        <v>8</v>
      </c>
      <c r="G70" s="21">
        <f t="shared" si="12"/>
        <v>10881087698471.586</v>
      </c>
      <c r="H70" s="20"/>
      <c r="I70" s="20"/>
      <c r="J70" s="19"/>
      <c r="K70" s="31">
        <f t="shared" si="13"/>
        <v>8</v>
      </c>
      <c r="L70" s="21">
        <f t="shared" si="14"/>
        <v>2.2861030383091151E-10</v>
      </c>
      <c r="M70" s="21">
        <f t="shared" si="11"/>
        <v>1426528295.9048879</v>
      </c>
      <c r="N70" s="20"/>
      <c r="O70" s="19"/>
      <c r="P70" s="20"/>
      <c r="Q70" s="20"/>
      <c r="R70" s="20"/>
      <c r="S70" s="20"/>
      <c r="T70" s="20"/>
      <c r="U70" s="20"/>
      <c r="V70" s="20"/>
      <c r="W70" s="20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</row>
    <row r="71" spans="1:34">
      <c r="A71" s="20"/>
      <c r="B71" s="20"/>
      <c r="C71" s="19"/>
      <c r="D71" s="18"/>
      <c r="E71" s="21">
        <f t="shared" si="9"/>
        <v>3.3000000000000005E-4</v>
      </c>
      <c r="F71" s="31">
        <f t="shared" si="10"/>
        <v>9</v>
      </c>
      <c r="G71" s="21">
        <f t="shared" si="12"/>
        <v>10881087698471.586</v>
      </c>
      <c r="H71" s="20"/>
      <c r="I71" s="20"/>
      <c r="J71" s="19"/>
      <c r="K71" s="31">
        <f t="shared" si="13"/>
        <v>9</v>
      </c>
      <c r="L71" s="21">
        <f t="shared" si="14"/>
        <v>2.4165918097754296E-10</v>
      </c>
      <c r="M71" s="21">
        <f t="shared" si="11"/>
        <v>1507953289.2998681</v>
      </c>
      <c r="N71" s="20"/>
      <c r="O71" s="19"/>
      <c r="P71" s="20"/>
      <c r="Q71" s="20"/>
      <c r="R71" s="20"/>
      <c r="S71" s="20"/>
      <c r="T71" s="20"/>
      <c r="U71" s="20"/>
      <c r="V71" s="20"/>
      <c r="W71" s="20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</row>
    <row r="72" spans="1:34">
      <c r="A72" s="20"/>
      <c r="B72" s="20"/>
      <c r="C72" s="19"/>
      <c r="D72" s="18"/>
      <c r="E72" s="21">
        <f t="shared" si="9"/>
        <v>3.3000000000000005E-4</v>
      </c>
      <c r="F72" s="31">
        <f t="shared" si="10"/>
        <v>10</v>
      </c>
      <c r="G72" s="21">
        <f t="shared" si="12"/>
        <v>10881087698471.586</v>
      </c>
      <c r="H72" s="20"/>
      <c r="I72" s="20"/>
      <c r="J72" s="19"/>
      <c r="K72" s="31">
        <f t="shared" si="13"/>
        <v>10</v>
      </c>
      <c r="L72" s="21">
        <f t="shared" ref="L72:L82" si="15">N14*alfa</f>
        <v>2.2864993394980185E-10</v>
      </c>
      <c r="M72" s="21">
        <f t="shared" si="11"/>
        <v>1426775587.8467636</v>
      </c>
      <c r="N72" s="20"/>
      <c r="O72" s="19"/>
      <c r="P72" s="20"/>
      <c r="Q72" s="20"/>
      <c r="R72" s="20"/>
      <c r="S72" s="20"/>
      <c r="T72" s="20"/>
      <c r="U72" s="20"/>
      <c r="V72" s="20"/>
      <c r="W72" s="20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</row>
    <row r="73" spans="1:34">
      <c r="A73" s="19"/>
      <c r="B73" s="19">
        <f>kb*T</f>
        <v>4.0434000000000001E-21</v>
      </c>
      <c r="C73" s="19"/>
      <c r="D73" s="18"/>
      <c r="E73" s="21">
        <f t="shared" si="9"/>
        <v>3.2000000000000008E-4</v>
      </c>
      <c r="F73" s="31">
        <f t="shared" si="10"/>
        <v>11</v>
      </c>
      <c r="G73" s="21">
        <f t="shared" si="12"/>
        <v>10551357768214.871</v>
      </c>
      <c r="H73" s="20"/>
      <c r="I73" s="20"/>
      <c r="J73" s="19"/>
      <c r="K73" s="31">
        <f t="shared" ref="K73:K83" si="16">C15</f>
        <v>11</v>
      </c>
      <c r="L73" s="21">
        <f t="shared" si="15"/>
        <v>2.5732232496697493E-10</v>
      </c>
      <c r="M73" s="21">
        <f t="shared" si="11"/>
        <v>1605691307.7939236</v>
      </c>
      <c r="N73" s="20"/>
      <c r="O73" s="19"/>
      <c r="P73" s="20"/>
      <c r="Q73" s="20"/>
      <c r="R73" s="20"/>
      <c r="S73" s="20"/>
      <c r="T73" s="20"/>
      <c r="U73" s="20"/>
      <c r="V73" s="20"/>
      <c r="W73" s="20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</row>
    <row r="74" spans="1:34">
      <c r="A74" s="19"/>
      <c r="B74" s="19"/>
      <c r="C74" s="19"/>
      <c r="D74" s="18"/>
      <c r="E74" s="21">
        <f t="shared" si="9"/>
        <v>3.2000000000000008E-4</v>
      </c>
      <c r="F74" s="31">
        <f t="shared" si="10"/>
        <v>12</v>
      </c>
      <c r="G74" s="21">
        <f t="shared" ref="G74:G86" si="17">((E74*$C$66)/(kb*T))*0.000001</f>
        <v>10551357768214.871</v>
      </c>
      <c r="H74" s="19"/>
      <c r="I74" s="20"/>
      <c r="J74" s="20"/>
      <c r="K74" s="31">
        <f t="shared" si="16"/>
        <v>12</v>
      </c>
      <c r="L74" s="21">
        <f t="shared" si="15"/>
        <v>2.5306869220607662E-10</v>
      </c>
      <c r="M74" s="21">
        <f t="shared" si="11"/>
        <v>1579148639.3659182</v>
      </c>
      <c r="N74" s="20"/>
      <c r="O74" s="37"/>
      <c r="P74" s="29"/>
      <c r="Q74" s="29"/>
      <c r="R74" s="29"/>
      <c r="S74" s="29"/>
      <c r="T74" s="29"/>
      <c r="U74" s="29"/>
      <c r="V74" s="29"/>
      <c r="W74" s="29"/>
    </row>
    <row r="75" spans="1:34">
      <c r="A75" s="19"/>
      <c r="B75" s="19"/>
      <c r="C75" s="19"/>
      <c r="D75" s="18"/>
      <c r="E75" s="21">
        <f t="shared" si="9"/>
        <v>3.2000000000000008E-4</v>
      </c>
      <c r="F75" s="31">
        <f t="shared" si="10"/>
        <v>13</v>
      </c>
      <c r="G75" s="21">
        <f t="shared" si="17"/>
        <v>10551357768214.871</v>
      </c>
      <c r="H75" s="19"/>
      <c r="I75" s="20"/>
      <c r="J75" s="20"/>
      <c r="K75" s="31">
        <f t="shared" si="16"/>
        <v>13</v>
      </c>
      <c r="L75" s="21">
        <f t="shared" si="15"/>
        <v>2.9300660501981509E-10</v>
      </c>
      <c r="M75" s="21">
        <f t="shared" ref="M75:M112" si="18">L75*$J$67</f>
        <v>1828361215.3236461</v>
      </c>
      <c r="N75" s="20"/>
      <c r="O75" s="37"/>
      <c r="P75" s="29"/>
      <c r="Q75" s="29"/>
      <c r="R75" s="29"/>
      <c r="S75" s="29"/>
      <c r="T75" s="29"/>
      <c r="U75" s="29"/>
      <c r="V75" s="29"/>
      <c r="W75" s="29"/>
    </row>
    <row r="76" spans="1:34">
      <c r="A76" s="19"/>
      <c r="B76" s="19"/>
      <c r="C76" s="19"/>
      <c r="D76" s="18"/>
      <c r="E76" s="21">
        <f t="shared" si="9"/>
        <v>3.2000000000000008E-4</v>
      </c>
      <c r="F76" s="31">
        <f t="shared" si="10"/>
        <v>14</v>
      </c>
      <c r="G76" s="21">
        <f t="shared" si="17"/>
        <v>10551357768214.871</v>
      </c>
      <c r="H76" s="19"/>
      <c r="I76" s="20"/>
      <c r="J76" s="20"/>
      <c r="K76" s="31">
        <f t="shared" si="16"/>
        <v>14</v>
      </c>
      <c r="L76" s="21">
        <f t="shared" si="15"/>
        <v>3.0742668428005287E-10</v>
      </c>
      <c r="M76" s="21">
        <f t="shared" si="18"/>
        <v>1918342509.9075298</v>
      </c>
      <c r="N76" s="20"/>
      <c r="O76" s="37"/>
      <c r="P76" s="29"/>
      <c r="Q76" s="29"/>
      <c r="R76" s="29"/>
      <c r="S76" s="29"/>
      <c r="T76" s="29"/>
      <c r="U76" s="29"/>
      <c r="V76" s="29"/>
      <c r="W76" s="29"/>
    </row>
    <row r="77" spans="1:34">
      <c r="A77" s="19"/>
      <c r="B77" s="19"/>
      <c r="C77" s="19"/>
      <c r="D77" s="18"/>
      <c r="E77" s="21">
        <f t="shared" ref="E77:E104" si="19">O19</f>
        <v>3.1500000000000018E-4</v>
      </c>
      <c r="F77" s="31">
        <f t="shared" ref="F77:F104" si="20">C19</f>
        <v>15</v>
      </c>
      <c r="G77" s="21">
        <f t="shared" si="17"/>
        <v>10386492803086.516</v>
      </c>
      <c r="H77" s="19"/>
      <c r="I77" s="20"/>
      <c r="J77" s="20"/>
      <c r="K77" s="31">
        <f t="shared" si="16"/>
        <v>15</v>
      </c>
      <c r="L77" s="21">
        <f t="shared" si="15"/>
        <v>3.3177807133421405E-10</v>
      </c>
      <c r="M77" s="21">
        <f t="shared" si="18"/>
        <v>2070295165.1254957</v>
      </c>
      <c r="N77" s="20"/>
      <c r="O77" s="37"/>
      <c r="P77" s="29"/>
      <c r="Q77" s="29"/>
      <c r="R77" s="29"/>
      <c r="S77" s="29"/>
      <c r="T77" s="29"/>
      <c r="U77" s="29"/>
      <c r="V77" s="29"/>
      <c r="W77" s="29"/>
    </row>
    <row r="78" spans="1:34">
      <c r="A78" s="19"/>
      <c r="B78" s="19"/>
      <c r="C78" s="19"/>
      <c r="D78" s="18"/>
      <c r="E78" s="21">
        <f t="shared" si="19"/>
        <v>3.1500000000000018E-4</v>
      </c>
      <c r="F78" s="31">
        <f t="shared" si="20"/>
        <v>16</v>
      </c>
      <c r="G78" s="21">
        <f t="shared" si="17"/>
        <v>10386492803086.516</v>
      </c>
      <c r="H78" s="19"/>
      <c r="I78" s="20"/>
      <c r="J78" s="20"/>
      <c r="K78" s="31">
        <f t="shared" si="16"/>
        <v>16</v>
      </c>
      <c r="L78" s="21">
        <f t="shared" si="15"/>
        <v>2.7920607661822987E-10</v>
      </c>
      <c r="M78" s="21">
        <f t="shared" si="18"/>
        <v>1742245918.0977545</v>
      </c>
      <c r="N78" s="20"/>
      <c r="O78" s="37"/>
      <c r="P78" s="29"/>
      <c r="Q78" s="29"/>
      <c r="R78" s="29"/>
      <c r="S78" s="29"/>
      <c r="T78" s="29"/>
      <c r="U78" s="29"/>
      <c r="V78" s="29"/>
      <c r="W78" s="29"/>
    </row>
    <row r="79" spans="1:34">
      <c r="A79" s="19"/>
      <c r="B79" s="19"/>
      <c r="C79" s="19"/>
      <c r="D79" s="18"/>
      <c r="E79" s="21">
        <f t="shared" si="19"/>
        <v>3.2000000000000008E-4</v>
      </c>
      <c r="F79" s="31">
        <f t="shared" si="20"/>
        <v>17</v>
      </c>
      <c r="G79" s="21">
        <f t="shared" si="17"/>
        <v>10551357768214.871</v>
      </c>
      <c r="H79" s="19"/>
      <c r="I79" s="20"/>
      <c r="J79" s="20"/>
      <c r="K79" s="31">
        <f t="shared" si="16"/>
        <v>17</v>
      </c>
      <c r="L79" s="21">
        <f t="shared" si="15"/>
        <v>2.6340554821664466E-10</v>
      </c>
      <c r="M79" s="21">
        <f t="shared" si="18"/>
        <v>1643650620.8718626</v>
      </c>
      <c r="N79" s="20"/>
      <c r="O79" s="37"/>
      <c r="P79" s="29"/>
      <c r="Q79" s="29"/>
      <c r="R79" s="29"/>
      <c r="S79" s="29"/>
      <c r="T79" s="29"/>
      <c r="U79" s="29"/>
      <c r="V79" s="29"/>
      <c r="W79" s="29"/>
    </row>
    <row r="80" spans="1:34">
      <c r="A80" s="19"/>
      <c r="B80" s="19"/>
      <c r="C80" s="19"/>
      <c r="D80" s="18"/>
      <c r="E80" s="21">
        <f t="shared" si="19"/>
        <v>3.2000000000000008E-4</v>
      </c>
      <c r="F80" s="31">
        <f t="shared" si="20"/>
        <v>18</v>
      </c>
      <c r="G80" s="21">
        <f t="shared" si="17"/>
        <v>10551357768214.871</v>
      </c>
      <c r="H80" s="19"/>
      <c r="I80" s="20"/>
      <c r="J80" s="20"/>
      <c r="K80" s="31">
        <f t="shared" si="16"/>
        <v>18</v>
      </c>
      <c r="L80" s="21">
        <f t="shared" si="15"/>
        <v>2.4194848084544257E-10</v>
      </c>
      <c r="M80" s="21">
        <f t="shared" si="18"/>
        <v>1509758520.4755616</v>
      </c>
      <c r="N80" s="20"/>
      <c r="O80" s="37"/>
      <c r="P80" s="29"/>
      <c r="Q80" s="29"/>
      <c r="R80" s="29"/>
      <c r="S80" s="29"/>
      <c r="T80" s="29"/>
      <c r="U80" s="29"/>
      <c r="V80" s="29"/>
      <c r="W80" s="29"/>
    </row>
    <row r="81" spans="1:27">
      <c r="A81" s="19"/>
      <c r="B81" s="19"/>
      <c r="C81" s="19"/>
      <c r="D81" s="18"/>
      <c r="E81" s="21">
        <f t="shared" si="19"/>
        <v>3.1500000000000018E-4</v>
      </c>
      <c r="F81" s="31">
        <f t="shared" si="20"/>
        <v>19</v>
      </c>
      <c r="G81" s="21">
        <f t="shared" si="17"/>
        <v>10386492803086.516</v>
      </c>
      <c r="H81" s="19"/>
      <c r="I81" s="20"/>
      <c r="J81" s="20"/>
      <c r="K81" s="31">
        <f t="shared" si="16"/>
        <v>19</v>
      </c>
      <c r="L81" s="21">
        <f t="shared" si="15"/>
        <v>2.4742668428005287E-10</v>
      </c>
      <c r="M81" s="21">
        <f t="shared" si="18"/>
        <v>1543942509.9075298</v>
      </c>
      <c r="N81" s="20"/>
      <c r="O81" s="37"/>
      <c r="P81" s="29"/>
      <c r="Q81" s="29"/>
      <c r="R81" s="29"/>
      <c r="S81" s="29"/>
      <c r="T81" s="29"/>
      <c r="U81" s="29"/>
      <c r="V81" s="29"/>
      <c r="W81" s="29"/>
    </row>
    <row r="82" spans="1:27">
      <c r="A82" s="19"/>
      <c r="B82" s="19"/>
      <c r="C82" s="19"/>
      <c r="D82" s="18"/>
      <c r="E82" s="21">
        <f t="shared" si="19"/>
        <v>3.2000000000000008E-4</v>
      </c>
      <c r="F82" s="31">
        <f t="shared" si="20"/>
        <v>20</v>
      </c>
      <c r="G82" s="21">
        <f t="shared" si="17"/>
        <v>10551357768214.871</v>
      </c>
      <c r="H82" s="19"/>
      <c r="I82" s="20"/>
      <c r="J82" s="20"/>
      <c r="K82" s="31">
        <f t="shared" si="16"/>
        <v>20</v>
      </c>
      <c r="L82" s="21">
        <f t="shared" si="15"/>
        <v>2.5257727873183622E-10</v>
      </c>
      <c r="M82" s="21">
        <f t="shared" si="18"/>
        <v>1576082219.286658</v>
      </c>
      <c r="N82" s="20"/>
      <c r="O82" s="37"/>
      <c r="P82" s="29"/>
      <c r="Q82" s="29"/>
      <c r="R82" s="29"/>
      <c r="S82" s="29"/>
      <c r="T82" s="29"/>
      <c r="U82" s="29"/>
      <c r="V82" s="29"/>
      <c r="W82" s="29"/>
    </row>
    <row r="83" spans="1:27">
      <c r="B83" s="29"/>
      <c r="C83" s="29"/>
      <c r="D83" s="36"/>
      <c r="E83" s="21">
        <f t="shared" si="19"/>
        <v>3.2499999999999999E-4</v>
      </c>
      <c r="F83" s="31">
        <f t="shared" si="20"/>
        <v>21</v>
      </c>
      <c r="G83" s="21">
        <f t="shared" si="17"/>
        <v>10716222733343.225</v>
      </c>
      <c r="H83" s="29"/>
      <c r="I83" s="20"/>
      <c r="J83" s="20"/>
      <c r="K83" s="31">
        <f t="shared" si="16"/>
        <v>21</v>
      </c>
      <c r="L83" s="21">
        <f t="shared" ref="L83:L112" si="21">N25*alfa</f>
        <v>2.1399075297225894E-10</v>
      </c>
      <c r="M83" s="21">
        <f t="shared" si="18"/>
        <v>1335302298.5468957</v>
      </c>
      <c r="N83" s="29"/>
      <c r="O83" s="1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7">
      <c r="B84" s="29"/>
      <c r="C84" s="29"/>
      <c r="D84" s="36"/>
      <c r="E84" s="21">
        <f t="shared" si="19"/>
        <v>3.2499999999999999E-4</v>
      </c>
      <c r="F84" s="31">
        <f t="shared" si="20"/>
        <v>22</v>
      </c>
      <c r="G84" s="21">
        <f t="shared" si="17"/>
        <v>10716222733343.225</v>
      </c>
      <c r="H84" s="29"/>
      <c r="I84" s="29"/>
      <c r="J84" s="29"/>
      <c r="K84" s="31">
        <f t="shared" ref="K84:K112" si="22">C26</f>
        <v>22</v>
      </c>
      <c r="L84" s="21">
        <f t="shared" si="21"/>
        <v>3.0961558784676358E-10</v>
      </c>
      <c r="M84" s="21">
        <f t="shared" si="18"/>
        <v>1932001268.1638048</v>
      </c>
      <c r="N84" s="29"/>
      <c r="O84" s="1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spans="1:27">
      <c r="B85" s="29"/>
      <c r="C85" s="29"/>
      <c r="D85" s="29"/>
      <c r="E85" s="21">
        <f t="shared" si="19"/>
        <v>3.3500000000000017E-4</v>
      </c>
      <c r="F85" s="31">
        <f t="shared" si="20"/>
        <v>23</v>
      </c>
      <c r="G85" s="21">
        <f t="shared" si="17"/>
        <v>11045952663599.945</v>
      </c>
      <c r="H85" s="20"/>
      <c r="I85" s="29"/>
      <c r="J85" s="29"/>
      <c r="K85" s="31">
        <f t="shared" si="22"/>
        <v>23</v>
      </c>
      <c r="L85" s="21">
        <f t="shared" si="21"/>
        <v>2.7005284015852048E-10</v>
      </c>
      <c r="M85" s="21">
        <f t="shared" si="18"/>
        <v>1685129722.5891678</v>
      </c>
      <c r="N85" s="20"/>
      <c r="O85" s="37"/>
      <c r="P85" s="29"/>
      <c r="Q85" s="29"/>
      <c r="R85" s="29"/>
      <c r="S85" s="29"/>
      <c r="T85" s="29"/>
      <c r="U85" s="29"/>
    </row>
    <row r="86" spans="1:27">
      <c r="B86" s="29"/>
      <c r="C86" s="29"/>
      <c r="D86" s="29"/>
      <c r="E86" s="21">
        <f t="shared" si="19"/>
        <v>3.4000000000000008E-4</v>
      </c>
      <c r="F86" s="31">
        <f t="shared" si="20"/>
        <v>24</v>
      </c>
      <c r="G86" s="21">
        <f t="shared" si="17"/>
        <v>11210817628728.301</v>
      </c>
      <c r="H86" s="20"/>
      <c r="I86" s="19"/>
      <c r="J86" s="20"/>
      <c r="K86" s="31">
        <f t="shared" si="22"/>
        <v>24</v>
      </c>
      <c r="L86" s="21">
        <f t="shared" si="21"/>
        <v>3.1265257595772791E-10</v>
      </c>
      <c r="M86" s="21">
        <f t="shared" si="18"/>
        <v>1950952073.976222</v>
      </c>
      <c r="N86" s="20"/>
      <c r="O86" s="37"/>
      <c r="P86" s="29"/>
      <c r="Q86" s="29"/>
      <c r="R86" s="29"/>
      <c r="S86" s="29"/>
      <c r="T86" s="29"/>
      <c r="U86" s="29"/>
    </row>
    <row r="87" spans="1:27">
      <c r="B87" s="37"/>
      <c r="C87" s="37"/>
      <c r="D87" s="37"/>
      <c r="E87" s="21">
        <f t="shared" si="19"/>
        <v>3.3500000000000017E-4</v>
      </c>
      <c r="F87" s="31">
        <f t="shared" si="20"/>
        <v>25</v>
      </c>
      <c r="G87" s="21">
        <f t="shared" ref="G87:G104" si="23">((E87*$C$66)/(kb*T))*0.000001</f>
        <v>11045952663599.945</v>
      </c>
      <c r="H87" s="31"/>
      <c r="I87" s="31"/>
      <c r="J87" s="20"/>
      <c r="K87" s="31">
        <f t="shared" si="22"/>
        <v>25</v>
      </c>
      <c r="L87" s="21">
        <f t="shared" si="21"/>
        <v>2.904782034346103E-10</v>
      </c>
      <c r="M87" s="21">
        <f t="shared" si="18"/>
        <v>1812583989.4319682</v>
      </c>
      <c r="N87" s="20"/>
      <c r="O87" s="37"/>
      <c r="P87" s="29"/>
      <c r="Q87" s="29"/>
      <c r="R87" s="29"/>
      <c r="S87" s="29"/>
      <c r="T87" s="29"/>
      <c r="U87" s="29"/>
      <c r="V87" s="29"/>
      <c r="W87" s="29"/>
      <c r="X87" s="29"/>
    </row>
    <row r="88" spans="1:27">
      <c r="B88" s="37"/>
      <c r="C88" s="37"/>
      <c r="D88" s="37"/>
      <c r="E88" s="21">
        <f t="shared" si="19"/>
        <v>3.4000000000000008E-4</v>
      </c>
      <c r="F88" s="31">
        <f t="shared" si="20"/>
        <v>26</v>
      </c>
      <c r="G88" s="21">
        <f t="shared" si="23"/>
        <v>11210817628728.301</v>
      </c>
      <c r="H88" s="31"/>
      <c r="I88" s="31"/>
      <c r="J88" s="20"/>
      <c r="K88" s="31">
        <f t="shared" si="22"/>
        <v>26</v>
      </c>
      <c r="L88" s="21">
        <f t="shared" si="21"/>
        <v>2.5431968295904888E-10</v>
      </c>
      <c r="M88" s="21">
        <f t="shared" si="18"/>
        <v>1586954821.664465</v>
      </c>
      <c r="N88" s="20"/>
      <c r="O88" s="37"/>
      <c r="P88" s="29"/>
      <c r="Q88" s="29"/>
      <c r="R88" s="29"/>
      <c r="S88" s="29"/>
      <c r="T88" s="29"/>
      <c r="U88" s="29"/>
      <c r="V88" s="29"/>
      <c r="W88" s="29"/>
      <c r="X88" s="29"/>
    </row>
    <row r="89" spans="1:27">
      <c r="B89" s="37"/>
      <c r="C89" s="37"/>
      <c r="D89" s="37"/>
      <c r="E89" s="21">
        <f t="shared" si="19"/>
        <v>3.3500000000000017E-4</v>
      </c>
      <c r="F89" s="31">
        <f t="shared" si="20"/>
        <v>27</v>
      </c>
      <c r="G89" s="21">
        <f t="shared" si="23"/>
        <v>11045952663599.945</v>
      </c>
      <c r="H89" s="31"/>
      <c r="I89" s="31"/>
      <c r="J89" s="20"/>
      <c r="K89" s="31">
        <f t="shared" si="22"/>
        <v>27</v>
      </c>
      <c r="L89" s="21">
        <f t="shared" si="21"/>
        <v>2.4959048877146631E-10</v>
      </c>
      <c r="M89" s="21">
        <f t="shared" si="18"/>
        <v>1557444649.9339497</v>
      </c>
      <c r="N89" s="20"/>
      <c r="O89" s="37"/>
      <c r="P89" s="29"/>
      <c r="Q89" s="29"/>
      <c r="R89" s="29"/>
      <c r="S89" s="29"/>
      <c r="T89" s="29"/>
      <c r="U89" s="29"/>
      <c r="V89" s="29"/>
      <c r="W89" s="29"/>
      <c r="X89" s="29"/>
    </row>
    <row r="90" spans="1:27">
      <c r="B90" s="37"/>
      <c r="C90" s="37"/>
      <c r="D90" s="37"/>
      <c r="E90" s="21">
        <f t="shared" si="19"/>
        <v>3.3000000000000005E-4</v>
      </c>
      <c r="F90" s="31">
        <f t="shared" si="20"/>
        <v>28</v>
      </c>
      <c r="G90" s="21">
        <f t="shared" si="23"/>
        <v>10881087698471.586</v>
      </c>
      <c r="H90" s="31"/>
      <c r="I90" s="31"/>
      <c r="J90" s="20"/>
      <c r="K90" s="31">
        <f t="shared" si="22"/>
        <v>28</v>
      </c>
      <c r="L90" s="21">
        <f t="shared" si="21"/>
        <v>3.0546631439894322E-10</v>
      </c>
      <c r="M90" s="21">
        <f t="shared" si="18"/>
        <v>1906109801.8494058</v>
      </c>
      <c r="N90" s="20"/>
      <c r="O90" s="37"/>
      <c r="P90" s="29"/>
      <c r="Q90" s="29"/>
      <c r="R90" s="29"/>
      <c r="S90" s="29"/>
      <c r="T90" s="29"/>
      <c r="U90" s="29"/>
      <c r="V90" s="29"/>
      <c r="W90" s="29"/>
      <c r="X90" s="29"/>
    </row>
    <row r="91" spans="1:27">
      <c r="B91" s="37"/>
      <c r="C91" s="37"/>
      <c r="D91" s="37"/>
      <c r="E91" s="21">
        <f t="shared" si="19"/>
        <v>3.3500000000000017E-4</v>
      </c>
      <c r="F91" s="31">
        <f t="shared" si="20"/>
        <v>29</v>
      </c>
      <c r="G91" s="21">
        <f t="shared" si="23"/>
        <v>11045952663599.945</v>
      </c>
      <c r="H91" s="31"/>
      <c r="I91" s="31"/>
      <c r="J91" s="29"/>
      <c r="K91" s="31">
        <f t="shared" si="22"/>
        <v>29</v>
      </c>
      <c r="L91" s="21">
        <f t="shared" si="21"/>
        <v>2.6323513870541615E-10</v>
      </c>
      <c r="M91" s="21">
        <f t="shared" si="18"/>
        <v>1642587265.5217967</v>
      </c>
      <c r="N91" s="20"/>
      <c r="O91" s="37"/>
      <c r="P91" s="29"/>
      <c r="Q91" s="29"/>
      <c r="R91" s="29"/>
      <c r="S91" s="29"/>
      <c r="T91" s="29"/>
      <c r="U91" s="29"/>
      <c r="V91" s="29"/>
      <c r="W91" s="29"/>
      <c r="X91" s="29"/>
    </row>
    <row r="92" spans="1:27">
      <c r="B92" s="37"/>
      <c r="C92" s="37"/>
      <c r="D92" s="37"/>
      <c r="E92" s="21">
        <f t="shared" si="19"/>
        <v>3.3500000000000017E-4</v>
      </c>
      <c r="F92" s="31">
        <f t="shared" si="20"/>
        <v>30</v>
      </c>
      <c r="G92" s="21">
        <f t="shared" si="23"/>
        <v>11045952663599.945</v>
      </c>
      <c r="H92" s="31"/>
      <c r="I92" s="31"/>
      <c r="J92" s="29"/>
      <c r="K92" s="31">
        <f t="shared" si="22"/>
        <v>30</v>
      </c>
      <c r="L92" s="21">
        <f t="shared" si="21"/>
        <v>2.6713342140026424E-10</v>
      </c>
      <c r="M92" s="21">
        <f t="shared" si="18"/>
        <v>1666912549.5376489</v>
      </c>
      <c r="N92" s="20"/>
      <c r="O92" s="37"/>
      <c r="P92" s="37"/>
      <c r="Q92" s="29"/>
      <c r="R92" s="29"/>
      <c r="S92" s="29"/>
      <c r="T92" s="29"/>
      <c r="U92" s="29"/>
      <c r="V92" s="29"/>
      <c r="W92" s="29"/>
      <c r="X92" s="29"/>
      <c r="Y92" s="29"/>
    </row>
    <row r="93" spans="1:27">
      <c r="B93" s="37"/>
      <c r="C93" s="37"/>
      <c r="D93" s="37"/>
      <c r="E93" s="21">
        <f t="shared" si="19"/>
        <v>3.3000000000000005E-4</v>
      </c>
      <c r="F93" s="31">
        <f t="shared" si="20"/>
        <v>31</v>
      </c>
      <c r="G93" s="21">
        <f t="shared" si="23"/>
        <v>10881087698471.586</v>
      </c>
      <c r="H93" s="37"/>
      <c r="I93" s="37"/>
      <c r="J93" s="37"/>
      <c r="K93" s="31">
        <f t="shared" si="22"/>
        <v>31</v>
      </c>
      <c r="L93" s="21">
        <f t="shared" si="21"/>
        <v>2.7426552179656538E-10</v>
      </c>
      <c r="M93" s="21">
        <f t="shared" si="18"/>
        <v>1711416856.0105679</v>
      </c>
      <c r="N93" s="20"/>
      <c r="O93" s="37"/>
      <c r="P93" s="37"/>
      <c r="Q93" s="29"/>
      <c r="R93" s="29"/>
      <c r="S93" s="29"/>
      <c r="T93" s="29"/>
      <c r="U93" s="29"/>
      <c r="V93" s="29"/>
      <c r="W93" s="29"/>
      <c r="X93" s="29"/>
      <c r="Y93" s="29"/>
    </row>
    <row r="94" spans="1:27">
      <c r="B94" s="37"/>
      <c r="C94" s="37"/>
      <c r="D94" s="37"/>
      <c r="E94" s="21">
        <f t="shared" si="19"/>
        <v>3.3000000000000005E-4</v>
      </c>
      <c r="F94" s="31">
        <f t="shared" si="20"/>
        <v>32</v>
      </c>
      <c r="G94" s="21">
        <f t="shared" si="23"/>
        <v>10881087698471.586</v>
      </c>
      <c r="H94" s="20"/>
      <c r="I94" s="29"/>
      <c r="J94" s="29"/>
      <c r="K94" s="31">
        <f t="shared" si="22"/>
        <v>32</v>
      </c>
      <c r="L94" s="21">
        <f t="shared" si="21"/>
        <v>2.3805812417437255E-10</v>
      </c>
      <c r="M94" s="21">
        <f t="shared" si="18"/>
        <v>1485482694.8480847</v>
      </c>
      <c r="N94" s="19"/>
      <c r="O94" s="37"/>
      <c r="P94" s="29"/>
      <c r="Q94" s="29"/>
      <c r="R94" s="29"/>
      <c r="S94" s="29"/>
      <c r="T94" s="29"/>
      <c r="U94" s="29"/>
      <c r="V94" s="29"/>
    </row>
    <row r="95" spans="1:27">
      <c r="B95" s="37"/>
      <c r="C95" s="37"/>
      <c r="D95" s="37"/>
      <c r="E95" s="21">
        <f t="shared" si="19"/>
        <v>3.4000000000000008E-4</v>
      </c>
      <c r="F95" s="31">
        <f t="shared" si="20"/>
        <v>33</v>
      </c>
      <c r="G95" s="21">
        <f t="shared" si="23"/>
        <v>11210817628728.301</v>
      </c>
      <c r="H95" s="20"/>
      <c r="I95" s="29"/>
      <c r="J95" s="29"/>
      <c r="K95" s="31">
        <f t="shared" si="22"/>
        <v>33</v>
      </c>
      <c r="L95" s="21">
        <f t="shared" si="21"/>
        <v>3.0239894319682962E-10</v>
      </c>
      <c r="M95" s="21">
        <f t="shared" si="18"/>
        <v>1886969405.5482168</v>
      </c>
      <c r="N95" s="29"/>
      <c r="O95" s="37"/>
      <c r="P95" s="29"/>
      <c r="Q95" s="29"/>
      <c r="R95" s="29"/>
      <c r="S95" s="29"/>
      <c r="T95" s="29"/>
      <c r="U95" s="29"/>
      <c r="V95" s="29"/>
    </row>
    <row r="96" spans="1:27">
      <c r="B96" s="37"/>
      <c r="C96" s="37"/>
      <c r="D96" s="37"/>
      <c r="E96" s="21">
        <f t="shared" si="19"/>
        <v>3.4000000000000008E-4</v>
      </c>
      <c r="F96" s="31">
        <f t="shared" si="20"/>
        <v>34</v>
      </c>
      <c r="G96" s="21">
        <f t="shared" si="23"/>
        <v>11210817628728.301</v>
      </c>
      <c r="H96" s="29"/>
      <c r="I96" s="29"/>
      <c r="J96" s="29"/>
      <c r="K96" s="31">
        <f t="shared" si="22"/>
        <v>34</v>
      </c>
      <c r="L96" s="21">
        <f t="shared" si="21"/>
        <v>2.6737252311756937E-10</v>
      </c>
      <c r="M96" s="21">
        <f t="shared" si="18"/>
        <v>1668404544.2536328</v>
      </c>
      <c r="O96" s="24"/>
      <c r="Q96" s="24"/>
      <c r="R96" s="24"/>
    </row>
    <row r="97" spans="2:29">
      <c r="B97" s="37"/>
      <c r="C97" s="37"/>
      <c r="D97" s="37"/>
      <c r="E97" s="21">
        <f t="shared" si="19"/>
        <v>3.2499999999999999E-4</v>
      </c>
      <c r="F97" s="31">
        <f t="shared" si="20"/>
        <v>35</v>
      </c>
      <c r="G97" s="21">
        <f t="shared" si="23"/>
        <v>10716222733343.225</v>
      </c>
      <c r="H97" s="29"/>
      <c r="I97" s="29"/>
      <c r="J97" s="29"/>
      <c r="K97" s="31">
        <f t="shared" si="22"/>
        <v>35</v>
      </c>
      <c r="L97" s="21">
        <f t="shared" si="21"/>
        <v>2.9461426684280057E-10</v>
      </c>
      <c r="M97" s="21">
        <f t="shared" si="18"/>
        <v>1838393025.0990756</v>
      </c>
      <c r="O97" s="24"/>
      <c r="Q97" s="24"/>
      <c r="R97" s="24"/>
    </row>
    <row r="98" spans="2:29">
      <c r="B98" s="37"/>
      <c r="C98" s="37"/>
      <c r="D98" s="37"/>
      <c r="E98" s="21">
        <f t="shared" si="19"/>
        <v>3.2000000000000008E-4</v>
      </c>
      <c r="F98" s="31">
        <f t="shared" si="20"/>
        <v>36</v>
      </c>
      <c r="G98" s="21">
        <f t="shared" si="23"/>
        <v>10551357768214.871</v>
      </c>
      <c r="H98" s="29"/>
      <c r="I98" s="29"/>
      <c r="J98" s="29"/>
      <c r="K98" s="31">
        <f t="shared" si="22"/>
        <v>36</v>
      </c>
      <c r="L98" s="21">
        <f t="shared" si="21"/>
        <v>3.1057067371202116E-10</v>
      </c>
      <c r="M98" s="21">
        <f t="shared" si="18"/>
        <v>1937961003.963012</v>
      </c>
      <c r="O98" s="24"/>
      <c r="Q98" s="24"/>
      <c r="R98" s="24"/>
    </row>
    <row r="99" spans="2:29">
      <c r="B99" s="37"/>
      <c r="C99" s="37"/>
      <c r="D99" s="37"/>
      <c r="E99" s="21">
        <f t="shared" si="19"/>
        <v>3.2000000000000008E-4</v>
      </c>
      <c r="F99" s="31">
        <f t="shared" si="20"/>
        <v>37</v>
      </c>
      <c r="G99" s="21">
        <f t="shared" si="23"/>
        <v>10551357768214.871</v>
      </c>
      <c r="H99" s="29"/>
      <c r="I99" s="29"/>
      <c r="J99" s="29"/>
      <c r="K99" s="31">
        <f t="shared" si="22"/>
        <v>37</v>
      </c>
      <c r="L99" s="21">
        <f t="shared" si="21"/>
        <v>3.0346103038309117E-10</v>
      </c>
      <c r="M99" s="21">
        <f t="shared" si="18"/>
        <v>1893596829.5904889</v>
      </c>
      <c r="O99" s="24"/>
      <c r="Q99" s="24"/>
      <c r="R99" s="24"/>
    </row>
    <row r="100" spans="2:29">
      <c r="B100" s="37"/>
      <c r="C100" s="37"/>
      <c r="D100" s="37"/>
      <c r="E100" s="21">
        <f t="shared" si="19"/>
        <v>3.2000000000000008E-4</v>
      </c>
      <c r="F100" s="31">
        <f t="shared" si="20"/>
        <v>38</v>
      </c>
      <c r="G100" s="21">
        <f t="shared" si="23"/>
        <v>10551357768214.871</v>
      </c>
      <c r="H100" s="29"/>
      <c r="I100" s="29"/>
      <c r="J100" s="29"/>
      <c r="K100" s="31">
        <f t="shared" si="22"/>
        <v>38</v>
      </c>
      <c r="L100" s="21">
        <f t="shared" si="21"/>
        <v>3.1378863936591814E-10</v>
      </c>
      <c r="M100" s="21">
        <f t="shared" si="18"/>
        <v>1958041109.6433291</v>
      </c>
      <c r="O100" s="24"/>
      <c r="Q100" s="24"/>
      <c r="R100" s="24"/>
    </row>
    <row r="101" spans="2:29">
      <c r="B101" s="29"/>
      <c r="C101" s="29"/>
      <c r="D101" s="36"/>
      <c r="E101" s="21">
        <f t="shared" si="19"/>
        <v>3.2000000000000008E-4</v>
      </c>
      <c r="F101" s="31">
        <f t="shared" si="20"/>
        <v>39</v>
      </c>
      <c r="G101" s="21">
        <f t="shared" si="23"/>
        <v>10551357768214.871</v>
      </c>
      <c r="H101" s="29"/>
      <c r="I101" s="29"/>
      <c r="J101" s="29"/>
      <c r="K101" s="31">
        <f t="shared" si="22"/>
        <v>39</v>
      </c>
      <c r="L101" s="21">
        <f t="shared" si="21"/>
        <v>3.4057331571994717E-10</v>
      </c>
      <c r="M101" s="21">
        <f t="shared" si="18"/>
        <v>2125177490.0924704</v>
      </c>
      <c r="N101" s="29"/>
      <c r="O101" s="29"/>
      <c r="P101" s="29"/>
      <c r="Q101" s="29"/>
      <c r="R101" s="29"/>
    </row>
    <row r="102" spans="2:29">
      <c r="B102" s="29"/>
      <c r="C102" s="29"/>
      <c r="D102" s="36"/>
      <c r="E102" s="21">
        <f t="shared" si="19"/>
        <v>3.2000000000000008E-4</v>
      </c>
      <c r="F102" s="31">
        <f t="shared" si="20"/>
        <v>40</v>
      </c>
      <c r="G102" s="21">
        <f t="shared" si="23"/>
        <v>10551357768214.871</v>
      </c>
      <c r="H102" s="24"/>
      <c r="I102" s="24"/>
      <c r="J102" s="24"/>
      <c r="K102" s="31">
        <f t="shared" si="22"/>
        <v>40</v>
      </c>
      <c r="L102" s="21">
        <f t="shared" si="21"/>
        <v>3.3444649933949803E-10</v>
      </c>
      <c r="M102" s="21">
        <f t="shared" si="18"/>
        <v>2086946155.8784678</v>
      </c>
      <c r="O102" s="24"/>
      <c r="Q102" s="24"/>
      <c r="R102" s="24"/>
    </row>
    <row r="103" spans="2:29">
      <c r="B103" s="29"/>
      <c r="C103" s="29"/>
      <c r="D103" s="36"/>
      <c r="E103" s="21">
        <f t="shared" si="19"/>
        <v>3.2499999999999999E-4</v>
      </c>
      <c r="F103" s="31">
        <f t="shared" si="20"/>
        <v>41</v>
      </c>
      <c r="G103" s="21">
        <f t="shared" si="23"/>
        <v>10716222733343.225</v>
      </c>
      <c r="H103" s="24"/>
      <c r="I103" s="24"/>
      <c r="J103" s="24"/>
      <c r="K103" s="31">
        <f t="shared" si="22"/>
        <v>41</v>
      </c>
      <c r="L103" s="21">
        <f t="shared" si="21"/>
        <v>3.2747027741083226E-10</v>
      </c>
      <c r="M103" s="21">
        <f t="shared" si="18"/>
        <v>2043414531.0435934</v>
      </c>
      <c r="O103" s="24"/>
      <c r="Q103" s="24"/>
      <c r="R103" s="24"/>
    </row>
    <row r="104" spans="2:29">
      <c r="B104" s="29"/>
      <c r="C104" s="29"/>
      <c r="D104" s="36"/>
      <c r="E104" s="21">
        <f t="shared" si="19"/>
        <v>3.2499999999999999E-4</v>
      </c>
      <c r="F104" s="31">
        <f t="shared" si="20"/>
        <v>42</v>
      </c>
      <c r="G104" s="21">
        <f t="shared" si="23"/>
        <v>10716222733343.225</v>
      </c>
      <c r="H104" s="24"/>
      <c r="I104" s="24"/>
      <c r="J104" s="24"/>
      <c r="K104" s="31">
        <f t="shared" si="22"/>
        <v>42</v>
      </c>
      <c r="L104" s="21">
        <f t="shared" si="21"/>
        <v>3.2637120211360637E-10</v>
      </c>
      <c r="M104" s="21">
        <f t="shared" si="18"/>
        <v>2036556301.1889038</v>
      </c>
      <c r="O104" s="24"/>
      <c r="Q104" s="24"/>
      <c r="R104" s="24"/>
    </row>
    <row r="105" spans="2:29">
      <c r="B105" s="29"/>
      <c r="C105" s="29"/>
      <c r="D105" s="36"/>
      <c r="E105" s="21">
        <f t="shared" ref="E105:E116" si="24">O47</f>
        <v>3.3000000000000005E-4</v>
      </c>
      <c r="F105" s="31">
        <f t="shared" ref="F105:F116" si="25">C47</f>
        <v>43</v>
      </c>
      <c r="G105" s="21">
        <f t="shared" ref="G105:G116" si="26">((E105*$C$66)/(kb*T))*0.000001</f>
        <v>10881087698471.586</v>
      </c>
      <c r="H105" s="29"/>
      <c r="I105" s="37"/>
      <c r="J105" s="29"/>
      <c r="K105" s="31">
        <f t="shared" si="22"/>
        <v>43</v>
      </c>
      <c r="L105" s="21">
        <f t="shared" si="21"/>
        <v>3.8922985468956411E-10</v>
      </c>
      <c r="M105" s="21">
        <f t="shared" si="18"/>
        <v>2428794293.2628798</v>
      </c>
      <c r="O105" s="24"/>
      <c r="Q105" s="24"/>
      <c r="R105" s="24"/>
    </row>
    <row r="106" spans="2:29">
      <c r="B106" s="29"/>
      <c r="C106" s="29"/>
      <c r="D106" s="36"/>
      <c r="E106" s="21">
        <f t="shared" si="24"/>
        <v>3.3000000000000005E-4</v>
      </c>
      <c r="F106" s="31">
        <f t="shared" si="25"/>
        <v>44</v>
      </c>
      <c r="G106" s="21">
        <f t="shared" si="26"/>
        <v>10881087698471.586</v>
      </c>
      <c r="H106" s="29"/>
      <c r="I106" s="37"/>
      <c r="J106" s="29"/>
      <c r="K106" s="31">
        <f t="shared" si="22"/>
        <v>44</v>
      </c>
      <c r="L106" s="21">
        <f t="shared" si="21"/>
        <v>3.736301188903567E-10</v>
      </c>
      <c r="M106" s="21">
        <f t="shared" si="18"/>
        <v>2331451941.8758259</v>
      </c>
      <c r="O106" s="24"/>
      <c r="Q106" s="24"/>
      <c r="R106" s="24"/>
    </row>
    <row r="107" spans="2:29">
      <c r="B107" s="29"/>
      <c r="C107" s="29"/>
      <c r="D107" s="36"/>
      <c r="E107" s="21">
        <f t="shared" si="24"/>
        <v>3.500000000000001E-4</v>
      </c>
      <c r="F107" s="31">
        <f t="shared" si="25"/>
        <v>45</v>
      </c>
      <c r="G107" s="21">
        <f t="shared" si="26"/>
        <v>11540547558985.018</v>
      </c>
      <c r="H107" s="29"/>
      <c r="I107" s="37"/>
      <c r="J107" s="29"/>
      <c r="K107" s="31">
        <f t="shared" si="22"/>
        <v>45</v>
      </c>
      <c r="L107" s="21">
        <f t="shared" si="21"/>
        <v>3.6742404227212686E-10</v>
      </c>
      <c r="M107" s="21">
        <f t="shared" si="18"/>
        <v>2292726023.7780714</v>
      </c>
      <c r="N107" s="29"/>
      <c r="O107" s="29"/>
      <c r="P107" s="29"/>
      <c r="Q107" s="29"/>
      <c r="R107" s="29"/>
      <c r="S107" s="29"/>
      <c r="T107" s="29"/>
      <c r="U107" s="29"/>
      <c r="V107" s="29"/>
      <c r="W107" s="29"/>
    </row>
    <row r="108" spans="2:29">
      <c r="B108" s="29"/>
      <c r="C108" s="29"/>
      <c r="D108" s="36"/>
      <c r="E108" s="21">
        <f t="shared" si="24"/>
        <v>3.500000000000001E-4</v>
      </c>
      <c r="F108" s="31">
        <f t="shared" si="25"/>
        <v>46</v>
      </c>
      <c r="G108" s="21">
        <f t="shared" si="26"/>
        <v>11540547558985.018</v>
      </c>
      <c r="H108" s="37"/>
      <c r="I108" s="37"/>
      <c r="J108" s="37"/>
      <c r="K108" s="31">
        <f t="shared" si="22"/>
        <v>46</v>
      </c>
      <c r="L108" s="21">
        <f t="shared" si="21"/>
        <v>4.068216644649934E-10</v>
      </c>
      <c r="M108" s="21">
        <f t="shared" si="18"/>
        <v>2538567186.261559</v>
      </c>
      <c r="N108" s="29"/>
      <c r="O108" s="37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 spans="2:29">
      <c r="B109" s="29"/>
      <c r="C109" s="29"/>
      <c r="D109" s="36"/>
      <c r="E109" s="21">
        <f t="shared" si="24"/>
        <v>3.6000000000000013E-4</v>
      </c>
      <c r="F109" s="31">
        <f t="shared" si="25"/>
        <v>47</v>
      </c>
      <c r="G109" s="21">
        <f t="shared" si="26"/>
        <v>11870277489241.732</v>
      </c>
      <c r="H109" s="37"/>
      <c r="I109" s="37"/>
      <c r="J109" s="37"/>
      <c r="K109" s="31">
        <f t="shared" si="22"/>
        <v>47</v>
      </c>
      <c r="L109" s="21">
        <f t="shared" si="21"/>
        <v>3.6967239101717306E-10</v>
      </c>
      <c r="M109" s="21">
        <f t="shared" si="18"/>
        <v>2306755719.9471598</v>
      </c>
      <c r="N109" s="29"/>
      <c r="O109" s="37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 spans="2:29">
      <c r="B110" s="29"/>
      <c r="C110" s="29"/>
      <c r="D110" s="36"/>
      <c r="E110" s="21">
        <f t="shared" si="24"/>
        <v>3.6000000000000013E-4</v>
      </c>
      <c r="F110" s="31">
        <f t="shared" si="25"/>
        <v>48</v>
      </c>
      <c r="G110" s="21">
        <f t="shared" si="26"/>
        <v>11870277489241.732</v>
      </c>
      <c r="H110" s="37"/>
      <c r="I110" s="37"/>
      <c r="J110" s="37"/>
      <c r="K110" s="31">
        <f t="shared" si="22"/>
        <v>48</v>
      </c>
      <c r="L110" s="21">
        <f t="shared" si="21"/>
        <v>4.0720343461030384E-10</v>
      </c>
      <c r="M110" s="21">
        <f t="shared" si="18"/>
        <v>2540949431.9682961</v>
      </c>
      <c r="N110" s="29"/>
      <c r="O110" s="37"/>
      <c r="P110" s="37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 spans="2:29">
      <c r="B111" s="29"/>
      <c r="C111" s="29"/>
      <c r="D111" s="36"/>
      <c r="E111" s="21">
        <f t="shared" si="24"/>
        <v>3.6499999999999998E-4</v>
      </c>
      <c r="F111" s="31">
        <f t="shared" si="25"/>
        <v>49</v>
      </c>
      <c r="G111" s="21">
        <f t="shared" si="26"/>
        <v>12035142454370.082</v>
      </c>
      <c r="H111" s="37"/>
      <c r="I111" s="37"/>
      <c r="J111" s="37"/>
      <c r="K111" s="31">
        <f t="shared" si="22"/>
        <v>49</v>
      </c>
      <c r="L111" s="21">
        <f t="shared" si="21"/>
        <v>3.883659180977543E-10</v>
      </c>
      <c r="M111" s="21">
        <f t="shared" si="18"/>
        <v>2423403328.929987</v>
      </c>
      <c r="N111" s="29"/>
      <c r="O111" s="37"/>
      <c r="P111" s="37"/>
      <c r="Q111" s="37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 spans="2:29">
      <c r="B112" s="29"/>
      <c r="C112" s="29"/>
      <c r="D112" s="36"/>
      <c r="E112" s="21">
        <f t="shared" si="24"/>
        <v>3.6499999999999998E-4</v>
      </c>
      <c r="F112" s="31">
        <f t="shared" si="25"/>
        <v>50</v>
      </c>
      <c r="G112" s="21">
        <f t="shared" si="26"/>
        <v>12035142454370.082</v>
      </c>
      <c r="H112" s="37"/>
      <c r="I112" s="37"/>
      <c r="J112" s="37"/>
      <c r="K112" s="31">
        <f t="shared" si="22"/>
        <v>50</v>
      </c>
      <c r="L112" s="21">
        <f t="shared" si="21"/>
        <v>4.1696961690885073E-10</v>
      </c>
      <c r="M112" s="21">
        <f t="shared" si="18"/>
        <v>2601890409.5112286</v>
      </c>
      <c r="N112" s="29"/>
      <c r="O112" s="37"/>
      <c r="P112" s="37"/>
      <c r="Q112" s="37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 spans="2:30">
      <c r="B113" s="29"/>
      <c r="C113" s="29"/>
      <c r="D113" s="36"/>
      <c r="E113" s="21">
        <f t="shared" si="24"/>
        <v>3.3000000000000005E-4</v>
      </c>
      <c r="F113" s="31">
        <f t="shared" si="25"/>
        <v>51</v>
      </c>
      <c r="G113" s="21">
        <f t="shared" si="26"/>
        <v>10881087698471.586</v>
      </c>
      <c r="H113" s="29"/>
      <c r="I113" s="37"/>
      <c r="J113" s="29"/>
      <c r="K113" s="31">
        <f>C55</f>
        <v>51</v>
      </c>
      <c r="L113" s="21">
        <f>N55*alfa</f>
        <v>4.175878467635403E-10</v>
      </c>
      <c r="M113" s="21">
        <f>L113*$J$67</f>
        <v>2605748163.8044915</v>
      </c>
      <c r="N113" s="37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2:30">
      <c r="B114" s="29"/>
      <c r="C114" s="29"/>
      <c r="D114" s="36"/>
      <c r="E114" s="21">
        <f t="shared" si="24"/>
        <v>3.3000000000000005E-4</v>
      </c>
      <c r="F114" s="31">
        <f t="shared" si="25"/>
        <v>52</v>
      </c>
      <c r="G114" s="21">
        <f t="shared" si="26"/>
        <v>10881087698471.586</v>
      </c>
      <c r="H114" s="29"/>
      <c r="I114" s="37"/>
      <c r="J114" s="29"/>
      <c r="K114" s="31">
        <f>C56</f>
        <v>52</v>
      </c>
      <c r="L114" s="21">
        <f>N56*alfa</f>
        <v>4.3535535006605022E-10</v>
      </c>
      <c r="M114" s="21">
        <f>L114*$J$67</f>
        <v>2716617384.4121532</v>
      </c>
      <c r="N114" s="20"/>
      <c r="O114" s="37"/>
      <c r="P114" s="37"/>
      <c r="Q114" s="37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 spans="2:30">
      <c r="B115" s="29"/>
      <c r="C115" s="29"/>
      <c r="D115" s="36"/>
      <c r="E115" s="21">
        <f t="shared" si="24"/>
        <v>-1.16E-3</v>
      </c>
      <c r="F115" s="31">
        <f t="shared" si="25"/>
        <v>53</v>
      </c>
      <c r="G115" s="21">
        <f t="shared" si="26"/>
        <v>-38248671909778.898</v>
      </c>
      <c r="H115" s="29"/>
      <c r="I115" s="37"/>
      <c r="J115" s="29"/>
      <c r="K115" s="31">
        <f>C57</f>
        <v>53</v>
      </c>
      <c r="L115" s="21">
        <f>N57*alfa</f>
        <v>0</v>
      </c>
      <c r="M115" s="21">
        <f>L115*$J$67</f>
        <v>0</v>
      </c>
      <c r="N115" s="29"/>
      <c r="O115" s="37"/>
      <c r="P115" s="37"/>
      <c r="Q115" s="37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 spans="2:30">
      <c r="B116" s="29"/>
      <c r="C116" s="29"/>
      <c r="D116" s="36"/>
      <c r="E116" s="21">
        <f t="shared" si="24"/>
        <v>-1.16E-3</v>
      </c>
      <c r="F116" s="31">
        <f t="shared" si="25"/>
        <v>54</v>
      </c>
      <c r="G116" s="21">
        <f t="shared" si="26"/>
        <v>-38248671909778.898</v>
      </c>
      <c r="H116" s="37"/>
      <c r="I116" s="37"/>
      <c r="J116" s="37"/>
      <c r="K116" s="31">
        <f>C58</f>
        <v>54</v>
      </c>
      <c r="L116" s="21">
        <f>N58*alfa</f>
        <v>0</v>
      </c>
      <c r="M116" s="21">
        <f>L116*$J$67</f>
        <v>0</v>
      </c>
      <c r="N116" s="29"/>
      <c r="O116" s="37"/>
      <c r="P116" s="37"/>
      <c r="Q116" s="37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 spans="2:30">
      <c r="B117" s="29"/>
      <c r="C117" s="29"/>
      <c r="D117" s="36"/>
      <c r="E117" s="37"/>
      <c r="F117" s="36"/>
      <c r="G117" s="37"/>
      <c r="H117" s="37"/>
      <c r="I117" s="37"/>
      <c r="J117" s="37"/>
      <c r="K117" s="37"/>
      <c r="L117" s="37"/>
      <c r="M117" s="29"/>
      <c r="N117" s="29"/>
      <c r="O117" s="37"/>
      <c r="P117" s="37"/>
      <c r="Q117" s="37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 spans="2:30">
      <c r="B118" s="29"/>
      <c r="C118" s="29"/>
      <c r="D118" s="36"/>
      <c r="E118" s="37"/>
      <c r="F118" s="36"/>
      <c r="G118" s="37"/>
      <c r="H118" s="37"/>
      <c r="I118" s="37"/>
      <c r="J118" s="37"/>
      <c r="K118" s="37"/>
      <c r="L118" s="37"/>
      <c r="M118" s="29"/>
      <c r="N118" s="29"/>
      <c r="O118" s="37"/>
      <c r="P118" s="37"/>
      <c r="Q118" s="37"/>
      <c r="R118" s="37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 spans="2:30">
      <c r="B119" s="29"/>
      <c r="C119" s="29"/>
      <c r="D119" s="36"/>
      <c r="E119" s="37"/>
      <c r="F119" s="36"/>
      <c r="G119" s="37"/>
      <c r="H119" s="37"/>
      <c r="I119" s="37"/>
      <c r="J119" s="37"/>
      <c r="K119" s="37"/>
      <c r="L119" s="37"/>
      <c r="M119" s="29"/>
      <c r="N119" s="29"/>
      <c r="O119" s="37"/>
      <c r="P119" s="37"/>
      <c r="Q119" s="37"/>
      <c r="R119" s="37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</row>
    <row r="120" spans="2:30">
      <c r="B120" s="29"/>
      <c r="C120" s="29"/>
      <c r="D120" s="36"/>
      <c r="E120" s="37"/>
      <c r="F120" s="36"/>
      <c r="G120" s="37"/>
      <c r="H120" s="37"/>
      <c r="I120" s="37"/>
      <c r="J120" s="37"/>
      <c r="K120" s="37"/>
      <c r="L120" s="37"/>
      <c r="M120" s="29"/>
      <c r="N120" s="29"/>
      <c r="O120" s="37"/>
      <c r="P120" s="37"/>
      <c r="Q120" s="37"/>
      <c r="R120" s="37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</row>
    <row r="121" spans="2:30">
      <c r="B121" s="29"/>
      <c r="C121" s="29"/>
      <c r="D121" s="36"/>
      <c r="E121" s="37"/>
      <c r="F121" s="36"/>
      <c r="G121" s="37"/>
      <c r="H121" s="37"/>
      <c r="I121" s="37"/>
      <c r="J121" s="37"/>
      <c r="K121" s="37"/>
      <c r="L121" s="37"/>
      <c r="M121" s="29"/>
      <c r="N121" s="29"/>
      <c r="O121" s="37"/>
      <c r="P121" s="37"/>
      <c r="Q121" s="37"/>
      <c r="R121" s="37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</row>
    <row r="122" spans="2:30">
      <c r="B122" s="29"/>
      <c r="C122" s="29"/>
      <c r="D122" s="36"/>
      <c r="E122" s="37"/>
      <c r="F122" s="36"/>
      <c r="G122" s="37"/>
      <c r="H122" s="37"/>
      <c r="I122" s="37"/>
      <c r="J122" s="37"/>
      <c r="K122" s="37"/>
      <c r="L122" s="37"/>
      <c r="M122" s="29"/>
      <c r="N122" s="29"/>
      <c r="O122" s="37"/>
      <c r="P122" s="37"/>
      <c r="Q122" s="37"/>
      <c r="R122" s="37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</row>
    <row r="123" spans="2:30">
      <c r="B123" s="29"/>
      <c r="C123" s="29"/>
      <c r="D123" s="36"/>
      <c r="E123" s="37"/>
      <c r="F123" s="36"/>
      <c r="G123" s="37"/>
      <c r="H123" s="37"/>
      <c r="I123" s="37"/>
      <c r="J123" s="37"/>
      <c r="K123" s="37"/>
      <c r="L123" s="37"/>
      <c r="M123" s="29"/>
      <c r="N123" s="29"/>
      <c r="O123" s="37"/>
      <c r="P123" s="29"/>
      <c r="Q123" s="37"/>
      <c r="R123" s="37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</row>
    <row r="124" spans="2:30">
      <c r="B124" s="29"/>
      <c r="C124" s="29"/>
      <c r="D124" s="36"/>
      <c r="E124" s="37"/>
      <c r="F124" s="36"/>
      <c r="G124" s="37"/>
      <c r="H124" s="37"/>
      <c r="I124" s="37"/>
      <c r="J124" s="37"/>
      <c r="K124" s="37"/>
      <c r="L124" s="37"/>
      <c r="M124" s="29"/>
      <c r="N124" s="29"/>
      <c r="O124" s="37"/>
      <c r="P124" s="29"/>
      <c r="Q124" s="37"/>
      <c r="R124" s="37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</row>
    <row r="125" spans="2:30">
      <c r="B125" s="29"/>
      <c r="C125" s="29"/>
      <c r="D125" s="36"/>
      <c r="E125" s="37"/>
      <c r="F125" s="36"/>
      <c r="G125" s="37"/>
      <c r="H125" s="37"/>
      <c r="I125" s="37"/>
      <c r="J125" s="37"/>
      <c r="K125" s="37"/>
      <c r="L125" s="37"/>
      <c r="M125" s="29"/>
      <c r="N125" s="29"/>
      <c r="O125" s="37"/>
      <c r="P125" s="29"/>
      <c r="Q125" s="37"/>
      <c r="R125" s="37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</row>
    <row r="126" spans="2:30">
      <c r="B126" s="29"/>
      <c r="C126" s="29"/>
      <c r="D126" s="36"/>
      <c r="E126" s="37"/>
      <c r="F126" s="36"/>
      <c r="G126" s="37"/>
      <c r="H126" s="37"/>
      <c r="I126" s="37"/>
      <c r="J126" s="37"/>
      <c r="K126" s="37"/>
      <c r="L126" s="37"/>
      <c r="M126" s="29"/>
      <c r="N126" s="29"/>
      <c r="O126" s="37"/>
      <c r="P126" s="29"/>
      <c r="Q126" s="37"/>
      <c r="R126" s="37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</row>
    <row r="127" spans="2:30">
      <c r="B127" s="29"/>
      <c r="C127" s="29"/>
      <c r="D127" s="36"/>
      <c r="E127" s="37"/>
      <c r="F127" s="36"/>
      <c r="G127" s="37"/>
      <c r="H127" s="37"/>
      <c r="I127" s="37"/>
      <c r="J127" s="37"/>
      <c r="K127" s="37"/>
      <c r="L127" s="37"/>
      <c r="M127" s="29"/>
      <c r="N127" s="29"/>
      <c r="O127" s="37"/>
      <c r="P127" s="29"/>
      <c r="Q127" s="37"/>
      <c r="R127" s="37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</row>
    <row r="128" spans="2:30">
      <c r="B128" s="29"/>
      <c r="C128" s="29"/>
      <c r="D128" s="36"/>
      <c r="E128" s="37"/>
      <c r="F128" s="36"/>
      <c r="G128" s="37"/>
      <c r="H128" s="37"/>
      <c r="I128" s="37"/>
      <c r="J128" s="37"/>
      <c r="K128" s="37"/>
      <c r="L128" s="37"/>
      <c r="M128" s="37"/>
      <c r="N128" s="29"/>
      <c r="O128" s="37"/>
      <c r="P128" s="29"/>
      <c r="Q128" s="37"/>
      <c r="R128" s="37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</row>
    <row r="129" spans="2:30">
      <c r="B129" s="29"/>
      <c r="C129" s="29"/>
      <c r="D129" s="36"/>
      <c r="E129" s="37"/>
      <c r="F129" s="36"/>
      <c r="G129" s="37"/>
      <c r="H129" s="37"/>
      <c r="I129" s="37"/>
      <c r="J129" s="37"/>
      <c r="K129" s="37"/>
      <c r="L129" s="37"/>
      <c r="M129" s="37"/>
      <c r="N129" s="29"/>
      <c r="O129" s="37"/>
      <c r="P129" s="29"/>
      <c r="Q129" s="37"/>
      <c r="R129" s="37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</row>
    <row r="130" spans="2:30">
      <c r="B130" s="29"/>
      <c r="C130" s="29"/>
      <c r="D130" s="36"/>
      <c r="E130" s="37"/>
      <c r="F130" s="36"/>
      <c r="G130" s="37"/>
      <c r="H130" s="37"/>
      <c r="I130" s="37"/>
      <c r="J130" s="37"/>
      <c r="K130" s="37"/>
      <c r="L130" s="37"/>
      <c r="M130" s="37"/>
      <c r="N130" s="29"/>
      <c r="O130" s="37"/>
      <c r="P130" s="29"/>
      <c r="Q130" s="37"/>
      <c r="R130" s="37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</row>
    <row r="131" spans="2:30">
      <c r="B131" s="29"/>
      <c r="C131" s="29"/>
      <c r="D131" s="36"/>
      <c r="E131" s="37"/>
      <c r="F131" s="36"/>
      <c r="G131" s="37"/>
      <c r="H131" s="37"/>
      <c r="I131" s="37"/>
      <c r="J131" s="37"/>
      <c r="K131" s="37"/>
      <c r="L131" s="37"/>
      <c r="M131" s="37"/>
      <c r="N131" s="29"/>
      <c r="O131" s="37"/>
      <c r="P131" s="29"/>
      <c r="Q131" s="37"/>
      <c r="R131" s="37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</row>
    <row r="132" spans="2:30">
      <c r="B132" s="29"/>
      <c r="C132" s="29"/>
      <c r="D132" s="36"/>
      <c r="E132" s="37"/>
      <c r="F132" s="36"/>
      <c r="G132" s="37"/>
      <c r="H132" s="37"/>
      <c r="I132" s="37"/>
      <c r="J132" s="37"/>
      <c r="K132" s="37"/>
      <c r="L132" s="37"/>
      <c r="M132" s="37"/>
      <c r="N132" s="29"/>
      <c r="O132" s="37"/>
      <c r="P132" s="29"/>
      <c r="Q132" s="37"/>
      <c r="R132" s="37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</row>
    <row r="133" spans="2:30">
      <c r="B133" s="29"/>
      <c r="C133" s="29"/>
      <c r="D133" s="36"/>
      <c r="E133" s="37"/>
      <c r="F133" s="36"/>
      <c r="G133" s="37"/>
      <c r="H133" s="37"/>
      <c r="I133" s="37"/>
      <c r="J133" s="37"/>
      <c r="K133" s="37"/>
      <c r="L133" s="37"/>
      <c r="M133" s="37"/>
      <c r="N133" s="29"/>
      <c r="O133" s="37"/>
      <c r="P133" s="29"/>
      <c r="Q133" s="37"/>
      <c r="R133" s="37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</row>
    <row r="134" spans="2:30">
      <c r="B134" s="29"/>
      <c r="C134" s="29"/>
      <c r="D134" s="36"/>
      <c r="E134" s="37"/>
      <c r="F134" s="36"/>
      <c r="G134" s="37"/>
      <c r="H134" s="37"/>
      <c r="I134" s="37"/>
      <c r="J134" s="37"/>
      <c r="K134" s="37"/>
      <c r="L134" s="37"/>
      <c r="M134" s="37"/>
      <c r="N134" s="29"/>
      <c r="O134" s="37"/>
      <c r="P134" s="29"/>
      <c r="Q134" s="37"/>
      <c r="R134" s="37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</row>
    <row r="135" spans="2:30">
      <c r="B135" s="29"/>
      <c r="C135" s="29"/>
      <c r="D135" s="36"/>
      <c r="E135" s="37"/>
      <c r="F135" s="36"/>
      <c r="G135" s="37"/>
      <c r="H135" s="37"/>
      <c r="I135" s="37"/>
      <c r="J135" s="37"/>
      <c r="K135" s="37"/>
      <c r="L135" s="37"/>
      <c r="M135" s="37"/>
      <c r="N135" s="29"/>
      <c r="O135" s="37"/>
      <c r="P135" s="29"/>
      <c r="Q135" s="37"/>
      <c r="R135" s="37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</row>
    <row r="136" spans="2:30">
      <c r="B136" s="29"/>
      <c r="C136" s="29"/>
      <c r="D136" s="36"/>
      <c r="E136" s="37"/>
      <c r="F136" s="36"/>
      <c r="G136" s="37"/>
      <c r="H136" s="37"/>
      <c r="I136" s="37"/>
      <c r="J136" s="37"/>
      <c r="K136" s="37"/>
      <c r="L136" s="37"/>
      <c r="M136" s="37"/>
      <c r="N136" s="29"/>
      <c r="O136" s="37"/>
      <c r="P136" s="29"/>
      <c r="Q136" s="37"/>
      <c r="R136" s="37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</row>
    <row r="137" spans="2:30">
      <c r="B137" s="29"/>
      <c r="C137" s="29"/>
      <c r="D137" s="36"/>
      <c r="E137" s="37"/>
      <c r="F137" s="36"/>
      <c r="G137" s="37"/>
      <c r="H137" s="37"/>
      <c r="I137" s="37"/>
      <c r="J137" s="37"/>
      <c r="K137" s="37"/>
      <c r="L137" s="37"/>
      <c r="M137" s="37"/>
      <c r="N137" s="29"/>
      <c r="O137" s="37"/>
      <c r="P137" s="29"/>
      <c r="Q137" s="37"/>
      <c r="R137" s="37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</row>
    <row r="138" spans="2:30">
      <c r="B138" s="29"/>
      <c r="C138" s="29"/>
      <c r="D138" s="36"/>
      <c r="E138" s="37"/>
      <c r="F138" s="36"/>
      <c r="G138" s="37"/>
      <c r="H138" s="37"/>
      <c r="I138" s="37"/>
      <c r="J138" s="37"/>
      <c r="K138" s="37"/>
      <c r="L138" s="37"/>
      <c r="M138" s="37"/>
      <c r="N138" s="29"/>
      <c r="O138" s="37"/>
      <c r="P138" s="29"/>
      <c r="Q138" s="37"/>
      <c r="R138" s="37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</row>
    <row r="139" spans="2:30">
      <c r="B139" s="29"/>
      <c r="C139" s="29"/>
      <c r="D139" s="36"/>
      <c r="E139" s="37"/>
      <c r="F139" s="36"/>
      <c r="G139" s="37"/>
      <c r="H139" s="37"/>
      <c r="I139" s="37"/>
      <c r="J139" s="37"/>
      <c r="K139" s="37"/>
      <c r="L139" s="37"/>
      <c r="M139" s="37"/>
      <c r="N139" s="29"/>
      <c r="O139" s="37"/>
      <c r="P139" s="29"/>
      <c r="Q139" s="37"/>
      <c r="R139" s="37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</row>
    <row r="140" spans="2:30">
      <c r="B140" s="29"/>
      <c r="C140" s="29"/>
      <c r="D140" s="36"/>
      <c r="E140" s="37"/>
      <c r="F140" s="36"/>
      <c r="G140" s="37"/>
      <c r="H140" s="37"/>
      <c r="I140" s="37"/>
      <c r="J140" s="37"/>
      <c r="K140" s="37"/>
      <c r="L140" s="37"/>
      <c r="M140" s="37"/>
      <c r="N140" s="29"/>
      <c r="O140" s="37"/>
      <c r="P140" s="29"/>
      <c r="Q140" s="37"/>
      <c r="R140" s="37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</row>
    <row r="141" spans="2:30">
      <c r="B141" s="29"/>
      <c r="C141" s="29"/>
      <c r="D141" s="36"/>
      <c r="E141" s="37"/>
      <c r="F141" s="36"/>
      <c r="G141" s="37"/>
      <c r="H141" s="37"/>
      <c r="I141" s="37"/>
      <c r="J141" s="37"/>
      <c r="K141" s="37"/>
      <c r="L141" s="37"/>
      <c r="M141" s="37"/>
      <c r="N141" s="29"/>
      <c r="O141" s="37"/>
      <c r="P141" s="29"/>
      <c r="Q141" s="37"/>
      <c r="R141" s="37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</row>
    <row r="142" spans="2:30">
      <c r="B142" s="29"/>
      <c r="C142" s="29"/>
      <c r="D142" s="36"/>
      <c r="E142" s="37"/>
      <c r="F142" s="36"/>
      <c r="G142" s="37"/>
      <c r="H142" s="37"/>
      <c r="I142" s="37"/>
      <c r="J142" s="37"/>
      <c r="K142" s="37"/>
      <c r="L142" s="37"/>
      <c r="M142" s="37"/>
      <c r="N142" s="29"/>
      <c r="O142" s="37"/>
      <c r="P142" s="29"/>
      <c r="Q142" s="37"/>
      <c r="R142" s="37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</row>
    <row r="143" spans="2:30">
      <c r="B143" s="29"/>
      <c r="C143" s="29"/>
      <c r="D143" s="36"/>
      <c r="E143" s="37"/>
      <c r="F143" s="36"/>
      <c r="G143" s="37"/>
      <c r="H143" s="37"/>
      <c r="I143" s="37"/>
      <c r="J143" s="37"/>
      <c r="K143" s="37"/>
      <c r="L143" s="37"/>
      <c r="M143" s="37"/>
      <c r="N143" s="29"/>
      <c r="O143" s="37"/>
      <c r="P143" s="29"/>
      <c r="Q143" s="37"/>
      <c r="R143" s="37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</row>
    <row r="144" spans="2:30">
      <c r="B144" s="29"/>
      <c r="C144" s="29"/>
      <c r="D144" s="36"/>
      <c r="E144" s="37"/>
      <c r="F144" s="36"/>
      <c r="G144" s="37"/>
      <c r="H144" s="37"/>
      <c r="I144" s="37"/>
      <c r="J144" s="37"/>
      <c r="K144" s="37"/>
      <c r="L144" s="37"/>
      <c r="M144" s="37"/>
      <c r="N144" s="29"/>
      <c r="O144" s="37"/>
      <c r="P144" s="29"/>
      <c r="Q144" s="37"/>
      <c r="R144" s="37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</row>
    <row r="145" spans="2:30">
      <c r="B145" s="29"/>
      <c r="C145" s="29"/>
      <c r="D145" s="36"/>
      <c r="E145" s="37"/>
      <c r="F145" s="36"/>
      <c r="G145" s="37"/>
      <c r="H145" s="37"/>
      <c r="I145" s="37"/>
      <c r="J145" s="37"/>
      <c r="K145" s="37"/>
      <c r="L145" s="37"/>
      <c r="M145" s="37"/>
      <c r="N145" s="29"/>
      <c r="O145" s="37"/>
      <c r="P145" s="29"/>
      <c r="Q145" s="37"/>
      <c r="R145" s="37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</row>
    <row r="146" spans="2:30">
      <c r="B146" s="29"/>
      <c r="C146" s="29"/>
      <c r="D146" s="36"/>
      <c r="E146" s="37"/>
      <c r="F146" s="36"/>
      <c r="G146" s="37"/>
      <c r="H146" s="37"/>
      <c r="I146" s="37"/>
      <c r="J146" s="37"/>
      <c r="K146" s="37"/>
      <c r="L146" s="37"/>
      <c r="M146" s="37"/>
      <c r="N146" s="29"/>
      <c r="O146" s="37"/>
      <c r="P146" s="29"/>
      <c r="Q146" s="37"/>
      <c r="R146" s="37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</row>
    <row r="147" spans="2:30">
      <c r="B147" s="29"/>
      <c r="C147" s="29"/>
      <c r="D147" s="36"/>
      <c r="E147" s="37"/>
      <c r="F147" s="36"/>
      <c r="G147" s="37"/>
      <c r="H147" s="37"/>
      <c r="I147" s="37"/>
      <c r="J147" s="37"/>
      <c r="K147" s="37"/>
      <c r="L147" s="37"/>
      <c r="M147" s="37"/>
      <c r="N147" s="29"/>
      <c r="O147" s="37"/>
      <c r="P147" s="29"/>
      <c r="Q147" s="37"/>
      <c r="R147" s="37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</row>
    <row r="148" spans="2:30">
      <c r="B148" s="29"/>
      <c r="C148" s="29"/>
      <c r="D148" s="36"/>
      <c r="E148" s="37"/>
      <c r="F148" s="36"/>
      <c r="G148" s="37"/>
      <c r="H148" s="37"/>
      <c r="I148" s="37"/>
      <c r="J148" s="37"/>
      <c r="K148" s="37"/>
      <c r="L148" s="37"/>
      <c r="M148" s="37"/>
      <c r="N148" s="29"/>
      <c r="O148" s="37"/>
      <c r="P148" s="29"/>
      <c r="Q148" s="37"/>
      <c r="R148" s="37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</row>
    <row r="149" spans="2:30">
      <c r="B149" s="29"/>
      <c r="C149" s="29"/>
      <c r="D149" s="36"/>
      <c r="E149" s="37"/>
      <c r="F149" s="36"/>
      <c r="G149" s="37"/>
      <c r="H149" s="37"/>
      <c r="I149" s="37"/>
      <c r="J149" s="37"/>
      <c r="K149" s="37"/>
      <c r="L149" s="37"/>
      <c r="M149" s="37"/>
      <c r="N149" s="29"/>
      <c r="O149" s="37"/>
      <c r="P149" s="29"/>
      <c r="Q149" s="37"/>
      <c r="R149" s="37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</row>
    <row r="150" spans="2:30">
      <c r="B150" s="29"/>
      <c r="C150" s="29"/>
      <c r="D150" s="36"/>
      <c r="E150" s="37"/>
      <c r="F150" s="36"/>
      <c r="G150" s="37"/>
      <c r="H150" s="37"/>
      <c r="I150" s="37"/>
      <c r="J150" s="37"/>
      <c r="K150" s="37"/>
      <c r="L150" s="37"/>
      <c r="M150" s="37"/>
      <c r="N150" s="29"/>
      <c r="O150" s="37"/>
      <c r="P150" s="29"/>
      <c r="Q150" s="37"/>
      <c r="R150" s="37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</row>
    <row r="151" spans="2:30">
      <c r="B151" s="29"/>
      <c r="C151" s="29"/>
      <c r="D151" s="36"/>
      <c r="E151" s="37"/>
      <c r="F151" s="36"/>
      <c r="G151" s="37"/>
      <c r="H151" s="37"/>
      <c r="I151" s="37"/>
      <c r="J151" s="37"/>
      <c r="K151" s="37"/>
      <c r="L151" s="37"/>
      <c r="M151" s="37"/>
      <c r="N151" s="29"/>
      <c r="O151" s="37"/>
      <c r="P151" s="29"/>
      <c r="Q151" s="37"/>
      <c r="R151" s="37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</row>
    <row r="152" spans="2:30">
      <c r="B152" s="29"/>
      <c r="C152" s="29"/>
      <c r="D152" s="36"/>
      <c r="E152" s="37"/>
      <c r="F152" s="36"/>
      <c r="G152" s="37"/>
      <c r="H152" s="37"/>
      <c r="I152" s="37"/>
      <c r="J152" s="37"/>
      <c r="K152" s="37"/>
      <c r="L152" s="37"/>
      <c r="M152" s="37"/>
      <c r="N152" s="29"/>
      <c r="O152" s="37"/>
      <c r="P152" s="29"/>
      <c r="Q152" s="37"/>
      <c r="R152" s="37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</row>
    <row r="153" spans="2:30">
      <c r="B153" s="29"/>
      <c r="C153" s="29"/>
      <c r="D153" s="36"/>
      <c r="E153" s="37"/>
      <c r="F153" s="36"/>
      <c r="G153" s="37"/>
      <c r="H153" s="37"/>
      <c r="I153" s="37"/>
      <c r="J153" s="37"/>
      <c r="K153" s="37"/>
      <c r="L153" s="37"/>
      <c r="M153" s="37"/>
      <c r="N153" s="29"/>
      <c r="O153" s="37"/>
      <c r="P153" s="29"/>
      <c r="Q153" s="37"/>
      <c r="R153" s="37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</row>
    <row r="154" spans="2:30">
      <c r="B154" s="29"/>
      <c r="C154" s="29"/>
      <c r="D154" s="36"/>
      <c r="E154" s="37"/>
      <c r="F154" s="36"/>
      <c r="G154" s="37"/>
      <c r="H154" s="37"/>
      <c r="I154" s="37"/>
      <c r="J154" s="37"/>
      <c r="K154" s="37"/>
      <c r="L154" s="37"/>
      <c r="M154" s="37"/>
      <c r="N154" s="29"/>
      <c r="O154" s="37"/>
      <c r="P154" s="29"/>
      <c r="Q154" s="37"/>
      <c r="R154" s="37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</row>
    <row r="155" spans="2:30">
      <c r="B155" s="29"/>
      <c r="C155" s="29"/>
      <c r="D155" s="36"/>
      <c r="E155" s="37"/>
      <c r="F155" s="36"/>
      <c r="G155" s="37"/>
      <c r="H155" s="37"/>
      <c r="I155" s="37"/>
      <c r="J155" s="37"/>
      <c r="K155" s="37"/>
      <c r="L155" s="37"/>
      <c r="M155" s="37"/>
      <c r="N155" s="29"/>
      <c r="O155" s="37"/>
      <c r="P155" s="29"/>
      <c r="Q155" s="37"/>
      <c r="R155" s="37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</row>
    <row r="156" spans="2:30">
      <c r="B156" s="29"/>
      <c r="C156" s="29"/>
      <c r="D156" s="36"/>
      <c r="E156" s="37"/>
      <c r="F156" s="36"/>
      <c r="G156" s="37"/>
      <c r="H156" s="37"/>
      <c r="I156" s="37"/>
      <c r="J156" s="37"/>
      <c r="K156" s="37"/>
      <c r="L156" s="37"/>
      <c r="M156" s="37"/>
      <c r="N156" s="29"/>
      <c r="O156" s="37"/>
      <c r="P156" s="29"/>
      <c r="Q156" s="37"/>
      <c r="R156" s="37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</row>
    <row r="157" spans="2:30">
      <c r="B157" s="29"/>
      <c r="C157" s="29"/>
      <c r="D157" s="36"/>
      <c r="E157" s="37"/>
      <c r="F157" s="36"/>
      <c r="G157" s="37"/>
      <c r="H157" s="37"/>
      <c r="I157" s="37"/>
      <c r="J157" s="37"/>
      <c r="K157" s="37"/>
      <c r="L157" s="37"/>
      <c r="M157" s="37"/>
      <c r="N157" s="29"/>
      <c r="O157" s="37"/>
      <c r="P157" s="29"/>
      <c r="Q157" s="37"/>
      <c r="R157" s="37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</row>
    <row r="158" spans="2:30">
      <c r="B158" s="29"/>
      <c r="C158" s="29"/>
      <c r="D158" s="36"/>
      <c r="E158" s="37"/>
      <c r="F158" s="36"/>
      <c r="G158" s="37"/>
      <c r="H158" s="37"/>
      <c r="I158" s="37"/>
      <c r="J158" s="37"/>
      <c r="K158" s="37"/>
      <c r="L158" s="37"/>
      <c r="M158" s="37"/>
      <c r="N158" s="29"/>
      <c r="O158" s="37"/>
      <c r="P158" s="29"/>
      <c r="Q158" s="37"/>
      <c r="R158" s="37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</row>
    <row r="159" spans="2:30">
      <c r="B159" s="29"/>
      <c r="C159" s="29"/>
      <c r="D159" s="36"/>
      <c r="E159" s="37"/>
      <c r="F159" s="36"/>
      <c r="G159" s="37"/>
      <c r="H159" s="37"/>
      <c r="I159" s="37"/>
      <c r="J159" s="37"/>
      <c r="K159" s="37"/>
      <c r="L159" s="37"/>
      <c r="M159" s="37"/>
      <c r="N159" s="29"/>
      <c r="O159" s="37"/>
      <c r="P159" s="29"/>
      <c r="Q159" s="37"/>
      <c r="R159" s="37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</row>
    <row r="160" spans="2:30">
      <c r="B160" s="29"/>
      <c r="C160" s="29"/>
      <c r="D160" s="36"/>
      <c r="E160" s="37"/>
      <c r="F160" s="36"/>
      <c r="G160" s="37"/>
      <c r="H160" s="37"/>
      <c r="I160" s="37"/>
      <c r="J160" s="37"/>
      <c r="K160" s="37"/>
      <c r="L160" s="37"/>
      <c r="M160" s="37"/>
      <c r="N160" s="29"/>
      <c r="O160" s="37"/>
      <c r="P160" s="29"/>
      <c r="Q160" s="37"/>
      <c r="R160" s="37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</row>
    <row r="161" spans="2:30">
      <c r="B161" s="29"/>
      <c r="C161" s="29"/>
      <c r="D161" s="36"/>
      <c r="E161" s="37"/>
      <c r="F161" s="36"/>
      <c r="G161" s="37"/>
      <c r="H161" s="37"/>
      <c r="I161" s="37"/>
      <c r="J161" s="37"/>
      <c r="K161" s="37"/>
      <c r="L161" s="37"/>
      <c r="M161" s="37"/>
      <c r="N161" s="29"/>
      <c r="O161" s="37"/>
      <c r="P161" s="29"/>
      <c r="Q161" s="37"/>
      <c r="R161" s="37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</row>
    <row r="162" spans="2:30">
      <c r="B162" s="29"/>
      <c r="C162" s="29"/>
      <c r="D162" s="36"/>
      <c r="E162" s="37"/>
      <c r="F162" s="36"/>
      <c r="G162" s="37"/>
      <c r="H162" s="37"/>
      <c r="I162" s="37"/>
      <c r="J162" s="37"/>
      <c r="K162" s="37"/>
      <c r="L162" s="37"/>
      <c r="M162" s="37"/>
      <c r="N162" s="29"/>
      <c r="O162" s="37"/>
      <c r="P162" s="29"/>
      <c r="Q162" s="37"/>
      <c r="R162" s="37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</row>
    <row r="163" spans="2:30">
      <c r="B163" s="29"/>
      <c r="C163" s="29"/>
      <c r="D163" s="36"/>
      <c r="E163" s="37"/>
      <c r="F163" s="36"/>
      <c r="G163" s="37"/>
      <c r="H163" s="37"/>
      <c r="I163" s="37"/>
      <c r="J163" s="37"/>
      <c r="K163" s="37"/>
      <c r="L163" s="37"/>
      <c r="M163" s="37"/>
      <c r="N163" s="29"/>
      <c r="O163" s="37"/>
      <c r="P163" s="29"/>
      <c r="Q163" s="37"/>
      <c r="R163" s="37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</row>
    <row r="164" spans="2:30">
      <c r="B164" s="29"/>
      <c r="C164" s="29"/>
      <c r="D164" s="36"/>
      <c r="E164" s="37"/>
      <c r="F164" s="36"/>
      <c r="G164" s="37"/>
      <c r="H164" s="37"/>
      <c r="I164" s="37"/>
      <c r="J164" s="37"/>
      <c r="K164" s="37"/>
      <c r="L164" s="37"/>
      <c r="M164" s="37"/>
      <c r="N164" s="29"/>
      <c r="O164" s="37"/>
      <c r="P164" s="29"/>
      <c r="Q164" s="37"/>
      <c r="R164" s="37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</row>
    <row r="165" spans="2:30">
      <c r="B165" s="29"/>
      <c r="C165" s="29"/>
      <c r="D165" s="36"/>
      <c r="E165" s="37"/>
      <c r="F165" s="36"/>
      <c r="G165" s="37"/>
      <c r="H165" s="37"/>
      <c r="I165" s="37"/>
      <c r="J165" s="37"/>
      <c r="K165" s="37"/>
      <c r="L165" s="37"/>
      <c r="M165" s="37"/>
      <c r="N165" s="29"/>
      <c r="O165" s="37"/>
      <c r="P165" s="29"/>
      <c r="Q165" s="37"/>
      <c r="R165" s="37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</row>
    <row r="166" spans="2:30">
      <c r="B166" s="29"/>
      <c r="C166" s="29"/>
      <c r="D166" s="36"/>
      <c r="E166" s="37"/>
      <c r="F166" s="36"/>
      <c r="G166" s="37"/>
      <c r="H166" s="37"/>
      <c r="I166" s="37"/>
      <c r="J166" s="37"/>
      <c r="K166" s="37"/>
      <c r="L166" s="37"/>
      <c r="M166" s="37"/>
      <c r="N166" s="29"/>
      <c r="O166" s="37"/>
      <c r="P166" s="29"/>
      <c r="Q166" s="37"/>
      <c r="R166" s="37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</row>
    <row r="167" spans="2:30">
      <c r="B167" s="29"/>
      <c r="C167" s="29"/>
      <c r="D167" s="36"/>
      <c r="E167" s="37"/>
      <c r="F167" s="36"/>
      <c r="G167" s="37"/>
      <c r="H167" s="37"/>
      <c r="I167" s="37"/>
      <c r="J167" s="37"/>
      <c r="K167" s="37"/>
      <c r="L167" s="37"/>
      <c r="M167" s="37"/>
      <c r="N167" s="29"/>
      <c r="O167" s="37"/>
      <c r="P167" s="29"/>
      <c r="Q167" s="37"/>
      <c r="R167" s="37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</row>
    <row r="168" spans="2:30">
      <c r="B168" s="29"/>
      <c r="C168" s="29"/>
      <c r="D168" s="36"/>
      <c r="E168" s="37"/>
      <c r="F168" s="36"/>
      <c r="G168" s="37"/>
      <c r="H168" s="37"/>
      <c r="I168" s="37"/>
      <c r="J168" s="37"/>
      <c r="K168" s="37"/>
      <c r="L168" s="37"/>
      <c r="M168" s="37"/>
      <c r="N168" s="29"/>
      <c r="O168" s="37"/>
      <c r="P168" s="29"/>
      <c r="Q168" s="37"/>
      <c r="R168" s="37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</row>
    <row r="169" spans="2:30">
      <c r="B169" s="29"/>
      <c r="C169" s="29"/>
      <c r="D169" s="36"/>
      <c r="E169" s="37"/>
      <c r="F169" s="36"/>
      <c r="G169" s="37"/>
      <c r="H169" s="37"/>
      <c r="I169" s="37"/>
      <c r="J169" s="37"/>
      <c r="K169" s="37"/>
      <c r="L169" s="37"/>
      <c r="M169" s="37"/>
      <c r="N169" s="29"/>
      <c r="O169" s="37"/>
      <c r="P169" s="29"/>
      <c r="Q169" s="37"/>
      <c r="R169" s="37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</row>
    <row r="170" spans="2:30">
      <c r="B170" s="29"/>
      <c r="C170" s="29"/>
      <c r="D170" s="36"/>
      <c r="E170" s="37"/>
      <c r="F170" s="36"/>
      <c r="G170" s="37"/>
      <c r="H170" s="37"/>
      <c r="I170" s="37"/>
      <c r="J170" s="37"/>
      <c r="K170" s="37"/>
      <c r="L170" s="37"/>
      <c r="M170" s="37"/>
      <c r="N170" s="29"/>
      <c r="O170" s="37"/>
      <c r="P170" s="29"/>
      <c r="Q170" s="37"/>
      <c r="R170" s="37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</row>
    <row r="171" spans="2:30">
      <c r="B171" s="29"/>
      <c r="C171" s="29"/>
      <c r="D171" s="36"/>
      <c r="E171" s="37"/>
      <c r="F171" s="36"/>
      <c r="G171" s="37"/>
      <c r="H171" s="37"/>
      <c r="I171" s="37"/>
      <c r="J171" s="37"/>
      <c r="K171" s="37"/>
      <c r="L171" s="37"/>
      <c r="M171" s="37"/>
      <c r="N171" s="29"/>
      <c r="O171" s="37"/>
      <c r="P171" s="29"/>
      <c r="Q171" s="37"/>
      <c r="R171" s="37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</row>
    <row r="172" spans="2:30">
      <c r="B172" s="29"/>
      <c r="C172" s="29"/>
      <c r="D172" s="36"/>
      <c r="E172" s="37"/>
      <c r="F172" s="36"/>
      <c r="G172" s="37"/>
      <c r="H172" s="37"/>
      <c r="I172" s="37"/>
      <c r="J172" s="37"/>
      <c r="K172" s="37"/>
      <c r="L172" s="37"/>
      <c r="M172" s="37"/>
      <c r="N172" s="29"/>
      <c r="O172" s="37"/>
      <c r="P172" s="29"/>
      <c r="Q172" s="37"/>
      <c r="R172" s="37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</row>
    <row r="173" spans="2:30">
      <c r="B173" s="29"/>
      <c r="C173" s="29"/>
      <c r="D173" s="36"/>
      <c r="E173" s="37"/>
      <c r="F173" s="36"/>
      <c r="G173" s="37"/>
      <c r="H173" s="37"/>
      <c r="I173" s="37"/>
      <c r="J173" s="37"/>
      <c r="K173" s="37"/>
      <c r="L173" s="37"/>
      <c r="M173" s="37"/>
      <c r="N173" s="29"/>
      <c r="O173" s="37"/>
      <c r="P173" s="29"/>
      <c r="Q173" s="37"/>
      <c r="R173" s="37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</row>
    <row r="174" spans="2:30">
      <c r="B174" s="29"/>
      <c r="C174" s="29"/>
      <c r="D174" s="36"/>
      <c r="E174" s="37"/>
      <c r="F174" s="36"/>
      <c r="G174" s="37"/>
      <c r="H174" s="37"/>
      <c r="I174" s="37"/>
      <c r="J174" s="37"/>
      <c r="K174" s="37"/>
      <c r="L174" s="37"/>
      <c r="M174" s="37"/>
      <c r="N174" s="29"/>
      <c r="O174" s="37"/>
      <c r="P174" s="29"/>
      <c r="Q174" s="37"/>
      <c r="R174" s="37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</row>
    <row r="175" spans="2:30">
      <c r="B175" s="29"/>
      <c r="C175" s="29"/>
      <c r="D175" s="36"/>
      <c r="E175" s="37"/>
      <c r="F175" s="36"/>
      <c r="G175" s="37"/>
      <c r="H175" s="37"/>
      <c r="I175" s="37"/>
      <c r="J175" s="37"/>
      <c r="K175" s="37"/>
      <c r="L175" s="37"/>
      <c r="M175" s="37"/>
      <c r="N175" s="29"/>
      <c r="O175" s="37"/>
      <c r="P175" s="29"/>
      <c r="Q175" s="37"/>
      <c r="R175" s="37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</row>
    <row r="176" spans="2:30">
      <c r="B176" s="29"/>
      <c r="C176" s="29"/>
      <c r="D176" s="36"/>
      <c r="E176" s="37"/>
      <c r="F176" s="36"/>
      <c r="G176" s="37"/>
      <c r="H176" s="37"/>
      <c r="I176" s="37"/>
      <c r="J176" s="37"/>
      <c r="K176" s="37"/>
      <c r="L176" s="37"/>
      <c r="M176" s="37"/>
      <c r="N176" s="29"/>
      <c r="O176" s="37"/>
      <c r="P176" s="29"/>
      <c r="Q176" s="37"/>
      <c r="R176" s="37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</row>
    <row r="177" spans="2:30">
      <c r="B177" s="29"/>
      <c r="C177" s="29"/>
      <c r="D177" s="36"/>
      <c r="E177" s="37"/>
      <c r="F177" s="36"/>
      <c r="G177" s="37"/>
      <c r="H177" s="37"/>
      <c r="I177" s="37"/>
      <c r="J177" s="37"/>
      <c r="K177" s="37"/>
      <c r="L177" s="37"/>
      <c r="M177" s="37"/>
      <c r="N177" s="29"/>
      <c r="O177" s="37"/>
      <c r="P177" s="29"/>
      <c r="Q177" s="37"/>
      <c r="R177" s="37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</row>
    <row r="178" spans="2:30">
      <c r="B178" s="29"/>
      <c r="C178" s="29"/>
      <c r="D178" s="36"/>
      <c r="E178" s="37"/>
      <c r="F178" s="36"/>
      <c r="G178" s="37"/>
      <c r="H178" s="37"/>
      <c r="I178" s="37"/>
      <c r="J178" s="37"/>
      <c r="K178" s="37"/>
      <c r="L178" s="37"/>
      <c r="M178" s="37"/>
      <c r="N178" s="29"/>
      <c r="O178" s="37"/>
      <c r="P178" s="29"/>
      <c r="Q178" s="37"/>
      <c r="R178" s="37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</row>
    <row r="179" spans="2:30">
      <c r="B179" s="29"/>
      <c r="C179" s="29"/>
      <c r="D179" s="36"/>
      <c r="E179" s="37"/>
      <c r="F179" s="36"/>
      <c r="G179" s="37"/>
      <c r="H179" s="37"/>
      <c r="I179" s="37"/>
      <c r="J179" s="37"/>
      <c r="K179" s="37"/>
      <c r="L179" s="37"/>
      <c r="M179" s="37"/>
      <c r="N179" s="29"/>
      <c r="O179" s="37"/>
      <c r="P179" s="29"/>
      <c r="Q179" s="37"/>
      <c r="R179" s="37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</row>
    <row r="180" spans="2:30">
      <c r="B180" s="29"/>
      <c r="C180" s="29"/>
      <c r="D180" s="36"/>
      <c r="E180" s="37"/>
      <c r="F180" s="36"/>
      <c r="G180" s="37"/>
      <c r="H180" s="37"/>
      <c r="I180" s="37"/>
      <c r="J180" s="37"/>
      <c r="K180" s="37"/>
      <c r="L180" s="37"/>
      <c r="M180" s="37"/>
      <c r="N180" s="29"/>
      <c r="O180" s="37"/>
      <c r="P180" s="29"/>
      <c r="Q180" s="37"/>
      <c r="R180" s="37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</row>
    <row r="181" spans="2:30">
      <c r="B181" s="29"/>
      <c r="C181" s="29"/>
      <c r="D181" s="36"/>
      <c r="E181" s="37"/>
      <c r="F181" s="36"/>
      <c r="G181" s="37"/>
      <c r="H181" s="37"/>
      <c r="I181" s="37"/>
      <c r="J181" s="37"/>
      <c r="K181" s="37"/>
      <c r="L181" s="37"/>
      <c r="M181" s="37"/>
      <c r="N181" s="29"/>
      <c r="O181" s="37"/>
      <c r="P181" s="29"/>
      <c r="Q181" s="37"/>
      <c r="R181" s="37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</row>
    <row r="182" spans="2:30">
      <c r="B182" s="29"/>
      <c r="C182" s="29"/>
      <c r="D182" s="36"/>
      <c r="E182" s="37"/>
      <c r="F182" s="36"/>
      <c r="G182" s="37"/>
      <c r="H182" s="37"/>
      <c r="I182" s="37"/>
      <c r="J182" s="37"/>
      <c r="K182" s="37"/>
      <c r="L182" s="37"/>
      <c r="M182" s="37"/>
      <c r="N182" s="29"/>
      <c r="O182" s="37"/>
      <c r="P182" s="29"/>
      <c r="Q182" s="37"/>
      <c r="R182" s="37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</row>
    <row r="183" spans="2:30">
      <c r="B183" s="29"/>
      <c r="C183" s="29"/>
      <c r="D183" s="36"/>
      <c r="E183" s="37"/>
      <c r="F183" s="36"/>
      <c r="G183" s="37"/>
      <c r="H183" s="37"/>
      <c r="I183" s="37"/>
      <c r="J183" s="37"/>
      <c r="K183" s="37"/>
      <c r="L183" s="37"/>
      <c r="M183" s="37"/>
      <c r="N183" s="29"/>
      <c r="O183" s="37"/>
      <c r="P183" s="29"/>
      <c r="Q183" s="37"/>
      <c r="R183" s="37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</row>
    <row r="184" spans="2:30">
      <c r="B184" s="29"/>
      <c r="C184" s="29"/>
      <c r="D184" s="36"/>
      <c r="E184" s="37"/>
      <c r="F184" s="36"/>
      <c r="G184" s="37"/>
      <c r="H184" s="37"/>
      <c r="I184" s="37"/>
      <c r="J184" s="37"/>
      <c r="K184" s="37"/>
      <c r="L184" s="37"/>
      <c r="M184" s="37"/>
      <c r="N184" s="29"/>
      <c r="O184" s="37"/>
      <c r="P184" s="29"/>
      <c r="Q184" s="37"/>
      <c r="R184" s="37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</row>
    <row r="185" spans="2:30">
      <c r="B185" s="29"/>
      <c r="C185" s="29"/>
      <c r="D185" s="36"/>
      <c r="E185" s="37"/>
      <c r="F185" s="36"/>
      <c r="G185" s="37"/>
      <c r="H185" s="37"/>
      <c r="I185" s="37"/>
      <c r="J185" s="37"/>
      <c r="K185" s="37"/>
      <c r="L185" s="37"/>
      <c r="M185" s="37"/>
      <c r="N185" s="29"/>
      <c r="O185" s="37"/>
      <c r="P185" s="29"/>
      <c r="Q185" s="37"/>
      <c r="R185" s="37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</row>
    <row r="186" spans="2:30">
      <c r="B186" s="29"/>
      <c r="C186" s="29"/>
      <c r="D186" s="36"/>
      <c r="E186" s="37"/>
      <c r="F186" s="36"/>
      <c r="G186" s="37"/>
      <c r="H186" s="37"/>
      <c r="I186" s="37"/>
      <c r="J186" s="37"/>
      <c r="K186" s="37"/>
      <c r="L186" s="37"/>
      <c r="M186" s="37"/>
      <c r="N186" s="29"/>
      <c r="O186" s="37"/>
      <c r="P186" s="29"/>
      <c r="Q186" s="37"/>
      <c r="R186" s="37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</row>
    <row r="187" spans="2:30">
      <c r="B187" s="29"/>
      <c r="C187" s="29"/>
      <c r="D187" s="36"/>
      <c r="E187" s="37"/>
      <c r="F187" s="36"/>
      <c r="G187" s="37"/>
      <c r="H187" s="37"/>
      <c r="I187" s="37"/>
      <c r="J187" s="37"/>
      <c r="K187" s="37"/>
      <c r="L187" s="37"/>
      <c r="M187" s="37"/>
      <c r="N187" s="29"/>
      <c r="O187" s="37"/>
      <c r="P187" s="29"/>
      <c r="Q187" s="37"/>
      <c r="R187" s="37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</row>
    <row r="188" spans="2:30">
      <c r="B188" s="29"/>
      <c r="C188" s="29"/>
      <c r="D188" s="36"/>
      <c r="E188" s="37"/>
      <c r="F188" s="36"/>
      <c r="G188" s="37"/>
      <c r="H188" s="37"/>
      <c r="I188" s="37"/>
      <c r="J188" s="37"/>
      <c r="K188" s="37"/>
      <c r="L188" s="37"/>
      <c r="M188" s="37"/>
      <c r="N188" s="29"/>
      <c r="O188" s="37"/>
      <c r="P188" s="29"/>
      <c r="Q188" s="37"/>
      <c r="R188" s="37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</row>
    <row r="189" spans="2:30">
      <c r="B189" s="29"/>
      <c r="C189" s="29"/>
      <c r="D189" s="36"/>
      <c r="E189" s="37"/>
      <c r="F189" s="36"/>
      <c r="G189" s="37"/>
      <c r="H189" s="37"/>
      <c r="I189" s="37"/>
      <c r="J189" s="37"/>
      <c r="K189" s="37"/>
      <c r="L189" s="37"/>
      <c r="M189" s="37"/>
      <c r="N189" s="29"/>
      <c r="O189" s="37"/>
      <c r="P189" s="29"/>
      <c r="Q189" s="37"/>
      <c r="R189" s="37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</row>
    <row r="190" spans="2:30">
      <c r="B190" s="29"/>
      <c r="C190" s="29"/>
      <c r="D190" s="36"/>
      <c r="E190" s="37"/>
      <c r="F190" s="36"/>
      <c r="G190" s="37"/>
      <c r="H190" s="37"/>
      <c r="I190" s="37"/>
      <c r="J190" s="37"/>
      <c r="K190" s="37"/>
      <c r="L190" s="37"/>
      <c r="M190" s="37"/>
      <c r="N190" s="29"/>
      <c r="O190" s="37"/>
      <c r="P190" s="29"/>
      <c r="Q190" s="37"/>
      <c r="R190" s="37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</row>
    <row r="191" spans="2:30">
      <c r="B191" s="29"/>
      <c r="C191" s="29"/>
      <c r="D191" s="36"/>
      <c r="E191" s="37"/>
      <c r="F191" s="36"/>
      <c r="G191" s="37"/>
      <c r="H191" s="37"/>
      <c r="I191" s="37"/>
      <c r="J191" s="37"/>
      <c r="K191" s="37"/>
      <c r="L191" s="37"/>
      <c r="M191" s="37"/>
      <c r="N191" s="29"/>
      <c r="O191" s="37"/>
      <c r="P191" s="29"/>
      <c r="Q191" s="37"/>
      <c r="R191" s="37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</row>
    <row r="192" spans="2:30">
      <c r="B192" s="29"/>
      <c r="C192" s="29"/>
      <c r="D192" s="36"/>
      <c r="E192" s="37"/>
      <c r="F192" s="36"/>
      <c r="G192" s="37"/>
      <c r="H192" s="37"/>
      <c r="I192" s="37"/>
      <c r="J192" s="37"/>
      <c r="K192" s="37"/>
      <c r="L192" s="37"/>
      <c r="M192" s="37"/>
      <c r="N192" s="29"/>
      <c r="O192" s="37"/>
      <c r="P192" s="29"/>
      <c r="Q192" s="37"/>
      <c r="R192" s="37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</row>
    <row r="193" spans="2:30">
      <c r="B193" s="29"/>
      <c r="C193" s="29"/>
      <c r="D193" s="36"/>
      <c r="E193" s="37"/>
      <c r="F193" s="36"/>
      <c r="G193" s="37"/>
      <c r="H193" s="37"/>
      <c r="I193" s="37"/>
      <c r="J193" s="37"/>
      <c r="K193" s="37"/>
      <c r="L193" s="37"/>
      <c r="M193" s="37"/>
      <c r="N193" s="29"/>
      <c r="O193" s="37"/>
      <c r="P193" s="29"/>
      <c r="Q193" s="37"/>
      <c r="R193" s="37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</row>
    <row r="194" spans="2:30">
      <c r="B194" s="29"/>
      <c r="C194" s="29"/>
      <c r="D194" s="36"/>
      <c r="E194" s="37"/>
      <c r="F194" s="36"/>
      <c r="G194" s="37"/>
      <c r="H194" s="37"/>
      <c r="I194" s="37"/>
      <c r="J194" s="37"/>
      <c r="K194" s="37"/>
      <c r="L194" s="37"/>
      <c r="M194" s="37"/>
      <c r="N194" s="29"/>
      <c r="O194" s="37"/>
      <c r="P194" s="29"/>
      <c r="Q194" s="37"/>
      <c r="R194" s="37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</row>
    <row r="195" spans="2:30">
      <c r="B195" s="29"/>
      <c r="C195" s="29"/>
      <c r="D195" s="36"/>
      <c r="E195" s="37"/>
      <c r="F195" s="36"/>
      <c r="G195" s="37"/>
      <c r="H195" s="37"/>
      <c r="I195" s="37"/>
      <c r="J195" s="37"/>
      <c r="K195" s="37"/>
      <c r="L195" s="37"/>
      <c r="M195" s="37"/>
      <c r="N195" s="29"/>
      <c r="O195" s="37"/>
      <c r="P195" s="29"/>
      <c r="Q195" s="37"/>
      <c r="R195" s="37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</row>
    <row r="196" spans="2:30">
      <c r="B196" s="29"/>
      <c r="C196" s="29"/>
      <c r="D196" s="36"/>
      <c r="E196" s="37"/>
      <c r="F196" s="36"/>
      <c r="G196" s="37"/>
      <c r="H196" s="37"/>
      <c r="I196" s="37"/>
      <c r="J196" s="37"/>
      <c r="K196" s="37"/>
      <c r="L196" s="37"/>
      <c r="M196" s="37"/>
      <c r="N196" s="29"/>
      <c r="O196" s="37"/>
      <c r="P196" s="29"/>
      <c r="Q196" s="37"/>
      <c r="R196" s="37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</row>
    <row r="197" spans="2:30">
      <c r="B197" s="29"/>
      <c r="C197" s="29"/>
      <c r="D197" s="36"/>
      <c r="E197" s="37"/>
      <c r="F197" s="36"/>
      <c r="G197" s="37"/>
      <c r="H197" s="37"/>
      <c r="I197" s="37"/>
      <c r="J197" s="37"/>
      <c r="K197" s="37"/>
      <c r="L197" s="37"/>
      <c r="M197" s="37"/>
      <c r="N197" s="29"/>
      <c r="O197" s="37"/>
      <c r="P197" s="29"/>
      <c r="Q197" s="37"/>
      <c r="R197" s="37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</row>
    <row r="198" spans="2:30">
      <c r="B198" s="29"/>
      <c r="C198" s="29"/>
      <c r="D198" s="36"/>
      <c r="E198" s="37"/>
      <c r="F198" s="36"/>
      <c r="G198" s="37"/>
      <c r="H198" s="37"/>
      <c r="I198" s="37"/>
      <c r="J198" s="37"/>
      <c r="K198" s="37"/>
      <c r="L198" s="37"/>
      <c r="M198" s="37"/>
      <c r="N198" s="29"/>
      <c r="O198" s="37"/>
      <c r="P198" s="29"/>
      <c r="Q198" s="37"/>
      <c r="R198" s="37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</row>
    <row r="199" spans="2:30">
      <c r="B199" s="29"/>
      <c r="C199" s="29"/>
      <c r="D199" s="36"/>
      <c r="E199" s="37"/>
      <c r="F199" s="36"/>
      <c r="G199" s="37"/>
      <c r="H199" s="37"/>
      <c r="I199" s="37"/>
      <c r="J199" s="37"/>
      <c r="K199" s="37"/>
      <c r="L199" s="37"/>
      <c r="M199" s="37"/>
      <c r="N199" s="29"/>
      <c r="O199" s="37"/>
      <c r="P199" s="29"/>
      <c r="Q199" s="37"/>
      <c r="R199" s="37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</row>
    <row r="200" spans="2:30">
      <c r="B200" s="29"/>
      <c r="C200" s="29"/>
      <c r="D200" s="36"/>
      <c r="E200" s="37"/>
      <c r="F200" s="36"/>
      <c r="G200" s="37"/>
      <c r="H200" s="37"/>
      <c r="I200" s="37"/>
      <c r="J200" s="37"/>
      <c r="K200" s="37"/>
      <c r="L200" s="37"/>
      <c r="M200" s="37"/>
      <c r="N200" s="29"/>
      <c r="O200" s="37"/>
      <c r="P200" s="29"/>
      <c r="Q200" s="37"/>
      <c r="R200" s="37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</row>
    <row r="201" spans="2:30">
      <c r="B201" s="29"/>
      <c r="C201" s="29"/>
      <c r="D201" s="36"/>
      <c r="E201" s="37"/>
      <c r="F201" s="36"/>
      <c r="G201" s="37"/>
      <c r="H201" s="37"/>
      <c r="I201" s="37"/>
      <c r="J201" s="37"/>
      <c r="K201" s="37"/>
      <c r="L201" s="37"/>
      <c r="M201" s="37"/>
      <c r="N201" s="29"/>
      <c r="O201" s="37"/>
      <c r="P201" s="29"/>
      <c r="Q201" s="37"/>
      <c r="R201" s="37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</row>
    <row r="202" spans="2:30">
      <c r="B202" s="29"/>
      <c r="C202" s="29"/>
      <c r="D202" s="36"/>
      <c r="E202" s="37"/>
      <c r="F202" s="36"/>
      <c r="G202" s="37"/>
      <c r="H202" s="37"/>
      <c r="I202" s="37"/>
      <c r="J202" s="37"/>
      <c r="K202" s="37"/>
      <c r="L202" s="37"/>
      <c r="M202" s="37"/>
      <c r="N202" s="29"/>
      <c r="O202" s="37"/>
      <c r="P202" s="29"/>
      <c r="Q202" s="37"/>
      <c r="R202" s="37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</row>
    <row r="203" spans="2:30">
      <c r="B203" s="29"/>
      <c r="C203" s="29"/>
      <c r="D203" s="36"/>
      <c r="E203" s="37"/>
      <c r="F203" s="36"/>
      <c r="G203" s="37"/>
      <c r="H203" s="37"/>
      <c r="I203" s="37"/>
      <c r="J203" s="37"/>
      <c r="K203" s="37"/>
      <c r="L203" s="37"/>
      <c r="M203" s="37"/>
      <c r="N203" s="29"/>
      <c r="O203" s="37"/>
      <c r="P203" s="29"/>
      <c r="Q203" s="37"/>
      <c r="R203" s="37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</row>
    <row r="204" spans="2:30">
      <c r="B204" s="29"/>
      <c r="C204" s="29"/>
      <c r="D204" s="36"/>
      <c r="E204" s="37"/>
      <c r="F204" s="36"/>
      <c r="G204" s="37"/>
      <c r="H204" s="37"/>
      <c r="I204" s="37"/>
      <c r="J204" s="37"/>
      <c r="K204" s="37"/>
      <c r="L204" s="37"/>
      <c r="M204" s="37"/>
      <c r="N204" s="29"/>
      <c r="O204" s="37"/>
      <c r="P204" s="29"/>
      <c r="Q204" s="37"/>
      <c r="R204" s="37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</row>
    <row r="205" spans="2:30">
      <c r="B205" s="29"/>
      <c r="C205" s="29"/>
      <c r="D205" s="36"/>
      <c r="E205" s="37"/>
      <c r="F205" s="36"/>
      <c r="G205" s="37"/>
      <c r="H205" s="37"/>
      <c r="I205" s="37"/>
      <c r="J205" s="37"/>
      <c r="K205" s="37"/>
      <c r="L205" s="37"/>
      <c r="M205" s="37"/>
      <c r="N205" s="29"/>
      <c r="O205" s="37"/>
      <c r="P205" s="29"/>
      <c r="Q205" s="37"/>
      <c r="R205" s="37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</row>
    <row r="206" spans="2:30">
      <c r="B206" s="29"/>
      <c r="C206" s="29"/>
      <c r="D206" s="36"/>
      <c r="E206" s="37"/>
      <c r="F206" s="36"/>
      <c r="G206" s="37"/>
      <c r="H206" s="37"/>
      <c r="I206" s="37"/>
      <c r="J206" s="37"/>
      <c r="K206" s="37"/>
      <c r="L206" s="37"/>
      <c r="M206" s="37"/>
      <c r="N206" s="29"/>
      <c r="O206" s="37"/>
      <c r="P206" s="29"/>
      <c r="Q206" s="37"/>
      <c r="R206" s="37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</row>
    <row r="207" spans="2:30">
      <c r="B207" s="29"/>
      <c r="C207" s="29"/>
      <c r="D207" s="36"/>
      <c r="E207" s="37"/>
      <c r="F207" s="36"/>
      <c r="G207" s="37"/>
      <c r="H207" s="37"/>
      <c r="I207" s="37"/>
      <c r="J207" s="37"/>
      <c r="K207" s="37"/>
      <c r="L207" s="37"/>
      <c r="M207" s="37"/>
      <c r="N207" s="29"/>
      <c r="O207" s="37"/>
      <c r="P207" s="29"/>
      <c r="Q207" s="37"/>
      <c r="R207" s="37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</row>
    <row r="208" spans="2:30">
      <c r="B208" s="29"/>
      <c r="C208" s="29"/>
      <c r="D208" s="36"/>
      <c r="E208" s="37"/>
      <c r="F208" s="36"/>
      <c r="G208" s="37"/>
      <c r="H208" s="37"/>
      <c r="I208" s="37"/>
      <c r="J208" s="37"/>
      <c r="K208" s="37"/>
      <c r="L208" s="37"/>
      <c r="M208" s="37"/>
      <c r="N208" s="29"/>
      <c r="O208" s="37"/>
      <c r="P208" s="29"/>
      <c r="Q208" s="37"/>
      <c r="R208" s="37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</row>
    <row r="209" spans="2:30">
      <c r="B209" s="29"/>
      <c r="C209" s="29"/>
      <c r="D209" s="36"/>
      <c r="E209" s="37"/>
      <c r="F209" s="36"/>
      <c r="G209" s="37"/>
      <c r="H209" s="37"/>
      <c r="I209" s="37"/>
      <c r="J209" s="37"/>
      <c r="K209" s="37"/>
      <c r="L209" s="37"/>
      <c r="M209" s="37"/>
      <c r="N209" s="29"/>
      <c r="O209" s="37"/>
      <c r="P209" s="29"/>
      <c r="Q209" s="37"/>
      <c r="R209" s="37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</row>
    <row r="210" spans="2:30">
      <c r="B210" s="29"/>
      <c r="C210" s="29"/>
      <c r="D210" s="36"/>
      <c r="E210" s="37"/>
      <c r="F210" s="36"/>
      <c r="G210" s="37"/>
      <c r="H210" s="37"/>
      <c r="I210" s="37"/>
      <c r="J210" s="37"/>
      <c r="K210" s="37"/>
      <c r="L210" s="37"/>
      <c r="M210" s="37"/>
      <c r="N210" s="29"/>
      <c r="O210" s="37"/>
      <c r="P210" s="29"/>
      <c r="Q210" s="37"/>
      <c r="R210" s="37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</row>
    <row r="211" spans="2:30">
      <c r="B211" s="29"/>
      <c r="C211" s="29"/>
      <c r="D211" s="36"/>
      <c r="E211" s="37"/>
      <c r="F211" s="36"/>
      <c r="G211" s="37"/>
      <c r="H211" s="37"/>
      <c r="I211" s="37"/>
      <c r="J211" s="37"/>
      <c r="K211" s="37"/>
      <c r="L211" s="37"/>
      <c r="M211" s="37"/>
      <c r="N211" s="29"/>
      <c r="O211" s="37"/>
      <c r="P211" s="29"/>
      <c r="Q211" s="37"/>
      <c r="R211" s="37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</row>
    <row r="212" spans="2:30">
      <c r="B212" s="29"/>
      <c r="C212" s="29"/>
      <c r="D212" s="36"/>
      <c r="E212" s="37"/>
      <c r="F212" s="36"/>
      <c r="G212" s="37"/>
      <c r="H212" s="37"/>
      <c r="I212" s="37"/>
      <c r="J212" s="37"/>
      <c r="K212" s="37"/>
      <c r="L212" s="37"/>
      <c r="M212" s="37"/>
      <c r="N212" s="29"/>
      <c r="O212" s="37"/>
      <c r="P212" s="29"/>
      <c r="Q212" s="37"/>
      <c r="R212" s="37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</row>
    <row r="213" spans="2:30">
      <c r="B213" s="29"/>
      <c r="C213" s="29"/>
      <c r="D213" s="36"/>
      <c r="E213" s="37"/>
      <c r="F213" s="36"/>
      <c r="G213" s="37"/>
      <c r="H213" s="37"/>
      <c r="I213" s="37"/>
      <c r="J213" s="37"/>
      <c r="K213" s="37"/>
      <c r="L213" s="37"/>
      <c r="M213" s="37"/>
      <c r="N213" s="29"/>
      <c r="O213" s="37"/>
      <c r="P213" s="29"/>
      <c r="Q213" s="37"/>
      <c r="R213" s="37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</row>
    <row r="214" spans="2:30">
      <c r="B214" s="29"/>
      <c r="C214" s="29"/>
      <c r="D214" s="36"/>
      <c r="E214" s="37"/>
      <c r="F214" s="36"/>
      <c r="G214" s="37"/>
      <c r="H214" s="37"/>
      <c r="I214" s="37"/>
      <c r="J214" s="37"/>
      <c r="K214" s="37"/>
      <c r="L214" s="37"/>
      <c r="M214" s="37"/>
      <c r="N214" s="29"/>
      <c r="O214" s="37"/>
      <c r="P214" s="29"/>
      <c r="Q214" s="37"/>
      <c r="R214" s="37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</row>
    <row r="215" spans="2:30">
      <c r="B215" s="29"/>
      <c r="C215" s="29"/>
      <c r="D215" s="36"/>
      <c r="E215" s="37"/>
      <c r="F215" s="36"/>
      <c r="G215" s="37"/>
      <c r="H215" s="37"/>
      <c r="I215" s="37"/>
      <c r="J215" s="37"/>
      <c r="K215" s="37"/>
      <c r="L215" s="37"/>
      <c r="M215" s="37"/>
      <c r="N215" s="29"/>
      <c r="O215" s="37"/>
      <c r="P215" s="29"/>
      <c r="Q215" s="37"/>
      <c r="R215" s="37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</row>
    <row r="216" spans="2:30">
      <c r="B216" s="29"/>
      <c r="C216" s="29"/>
      <c r="D216" s="36"/>
      <c r="E216" s="37"/>
      <c r="F216" s="36"/>
      <c r="G216" s="37"/>
      <c r="H216" s="37"/>
      <c r="I216" s="37"/>
      <c r="J216" s="37"/>
      <c r="K216" s="37"/>
      <c r="L216" s="37"/>
      <c r="M216" s="37"/>
      <c r="N216" s="29"/>
      <c r="O216" s="37"/>
      <c r="P216" s="29"/>
      <c r="Q216" s="37"/>
      <c r="R216" s="37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</row>
    <row r="217" spans="2:30">
      <c r="B217" s="29"/>
      <c r="C217" s="29"/>
      <c r="D217" s="36"/>
      <c r="E217" s="37"/>
      <c r="F217" s="36"/>
      <c r="G217" s="37"/>
      <c r="H217" s="37"/>
      <c r="I217" s="37"/>
      <c r="J217" s="37"/>
      <c r="K217" s="37"/>
      <c r="L217" s="37"/>
      <c r="M217" s="37"/>
      <c r="N217" s="29"/>
      <c r="O217" s="37"/>
      <c r="P217" s="29"/>
      <c r="Q217" s="37"/>
      <c r="R217" s="37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</row>
    <row r="218" spans="2:30">
      <c r="B218" s="29"/>
      <c r="C218" s="29"/>
      <c r="D218" s="36"/>
      <c r="E218" s="37"/>
      <c r="F218" s="36"/>
      <c r="G218" s="37"/>
      <c r="H218" s="37"/>
      <c r="I218" s="37"/>
      <c r="J218" s="37"/>
      <c r="K218" s="37"/>
      <c r="L218" s="37"/>
      <c r="M218" s="37"/>
      <c r="N218" s="29"/>
      <c r="O218" s="37"/>
      <c r="P218" s="29"/>
      <c r="Q218" s="37"/>
      <c r="R218" s="37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</row>
    <row r="219" spans="2:30">
      <c r="B219" s="29"/>
      <c r="C219" s="29"/>
      <c r="D219" s="36"/>
      <c r="E219" s="37"/>
      <c r="F219" s="36"/>
      <c r="G219" s="37"/>
      <c r="H219" s="37"/>
      <c r="I219" s="37"/>
      <c r="J219" s="37"/>
      <c r="K219" s="37"/>
      <c r="L219" s="37"/>
      <c r="M219" s="37"/>
      <c r="N219" s="29"/>
      <c r="O219" s="37"/>
      <c r="P219" s="29"/>
      <c r="Q219" s="37"/>
      <c r="R219" s="37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</row>
    <row r="220" spans="2:30">
      <c r="B220" s="29"/>
      <c r="C220" s="29"/>
      <c r="D220" s="36"/>
      <c r="E220" s="37"/>
      <c r="F220" s="36"/>
      <c r="G220" s="37"/>
      <c r="H220" s="37"/>
      <c r="I220" s="37"/>
      <c r="J220" s="37"/>
      <c r="K220" s="37"/>
      <c r="L220" s="37"/>
      <c r="M220" s="37"/>
      <c r="N220" s="29"/>
      <c r="O220" s="37"/>
      <c r="P220" s="29"/>
      <c r="Q220" s="37"/>
      <c r="R220" s="37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</row>
    <row r="221" spans="2:30">
      <c r="B221" s="29"/>
      <c r="C221" s="29"/>
      <c r="D221" s="36"/>
      <c r="E221" s="37"/>
      <c r="F221" s="36"/>
      <c r="G221" s="37"/>
      <c r="H221" s="37"/>
      <c r="I221" s="37"/>
      <c r="J221" s="37"/>
      <c r="K221" s="37"/>
      <c r="L221" s="37"/>
      <c r="M221" s="37"/>
      <c r="N221" s="29"/>
      <c r="O221" s="37"/>
      <c r="P221" s="29"/>
      <c r="Q221" s="37"/>
      <c r="R221" s="37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</row>
    <row r="222" spans="2:30">
      <c r="B222" s="29"/>
      <c r="C222" s="29"/>
      <c r="D222" s="36"/>
      <c r="E222" s="37"/>
      <c r="F222" s="36"/>
      <c r="G222" s="37"/>
      <c r="H222" s="37"/>
      <c r="I222" s="37"/>
      <c r="J222" s="37"/>
      <c r="K222" s="37"/>
      <c r="L222" s="37"/>
      <c r="M222" s="37"/>
      <c r="N222" s="29"/>
      <c r="O222" s="37"/>
      <c r="P222" s="29"/>
      <c r="Q222" s="37"/>
      <c r="R222" s="37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</row>
    <row r="223" spans="2:30">
      <c r="B223" s="29"/>
      <c r="C223" s="29"/>
      <c r="D223" s="36"/>
      <c r="E223" s="37"/>
      <c r="F223" s="36"/>
      <c r="G223" s="37"/>
      <c r="H223" s="37"/>
      <c r="I223" s="37"/>
      <c r="J223" s="37"/>
      <c r="K223" s="37"/>
      <c r="L223" s="37"/>
      <c r="M223" s="37"/>
      <c r="N223" s="29"/>
      <c r="O223" s="37"/>
      <c r="P223" s="29"/>
      <c r="Q223" s="37"/>
      <c r="R223" s="37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</row>
    <row r="224" spans="2:30">
      <c r="B224" s="29"/>
      <c r="C224" s="29"/>
      <c r="D224" s="36"/>
      <c r="E224" s="37"/>
      <c r="F224" s="36"/>
      <c r="G224" s="37"/>
      <c r="H224" s="37"/>
      <c r="I224" s="37"/>
      <c r="J224" s="37"/>
      <c r="K224" s="37"/>
      <c r="L224" s="37"/>
      <c r="M224" s="37"/>
      <c r="N224" s="29"/>
      <c r="O224" s="37"/>
      <c r="P224" s="29"/>
      <c r="Q224" s="37"/>
      <c r="R224" s="37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</row>
    <row r="225" spans="2:30">
      <c r="B225" s="29"/>
      <c r="C225" s="29"/>
      <c r="D225" s="36"/>
      <c r="E225" s="37"/>
      <c r="F225" s="36"/>
      <c r="G225" s="37"/>
      <c r="H225" s="37"/>
      <c r="I225" s="37"/>
      <c r="J225" s="37"/>
      <c r="K225" s="37"/>
      <c r="L225" s="37"/>
      <c r="M225" s="37"/>
      <c r="N225" s="29"/>
      <c r="O225" s="37"/>
      <c r="P225" s="29"/>
      <c r="Q225" s="37"/>
      <c r="R225" s="37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</row>
    <row r="226" spans="2:30">
      <c r="B226" s="29"/>
      <c r="C226" s="29"/>
      <c r="D226" s="36"/>
      <c r="E226" s="37"/>
      <c r="F226" s="36"/>
      <c r="G226" s="37"/>
      <c r="H226" s="37"/>
      <c r="I226" s="37"/>
      <c r="J226" s="37"/>
      <c r="K226" s="37"/>
      <c r="L226" s="37"/>
      <c r="M226" s="37"/>
      <c r="N226" s="29"/>
      <c r="O226" s="37"/>
      <c r="P226" s="29"/>
      <c r="Q226" s="37"/>
      <c r="R226" s="37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</row>
    <row r="227" spans="2:30">
      <c r="B227" s="29"/>
      <c r="C227" s="29"/>
      <c r="D227" s="36"/>
      <c r="E227" s="37"/>
      <c r="F227" s="36"/>
      <c r="G227" s="37"/>
      <c r="H227" s="37"/>
      <c r="I227" s="37"/>
      <c r="J227" s="37"/>
      <c r="K227" s="37"/>
      <c r="L227" s="37"/>
      <c r="M227" s="37"/>
      <c r="N227" s="29"/>
      <c r="O227" s="37"/>
      <c r="P227" s="29"/>
      <c r="Q227" s="37"/>
      <c r="R227" s="37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</row>
    <row r="228" spans="2:30">
      <c r="B228" s="29"/>
      <c r="C228" s="29"/>
      <c r="D228" s="36"/>
      <c r="E228" s="37"/>
      <c r="F228" s="36"/>
      <c r="G228" s="37"/>
      <c r="H228" s="37"/>
      <c r="I228" s="37"/>
      <c r="J228" s="37"/>
      <c r="K228" s="37"/>
      <c r="L228" s="37"/>
      <c r="M228" s="37"/>
      <c r="N228" s="29"/>
      <c r="O228" s="37"/>
      <c r="P228" s="29"/>
      <c r="Q228" s="37"/>
      <c r="R228" s="37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</row>
    <row r="229" spans="2:30">
      <c r="B229" s="29"/>
      <c r="C229" s="29"/>
      <c r="D229" s="36"/>
      <c r="E229" s="37"/>
      <c r="F229" s="36"/>
      <c r="G229" s="37"/>
      <c r="H229" s="37"/>
      <c r="I229" s="37"/>
      <c r="J229" s="37"/>
      <c r="K229" s="37"/>
      <c r="L229" s="37"/>
      <c r="M229" s="37"/>
      <c r="N229" s="29"/>
      <c r="O229" s="37"/>
      <c r="P229" s="29"/>
      <c r="Q229" s="37"/>
      <c r="R229" s="37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</row>
    <row r="230" spans="2:30">
      <c r="B230" s="29"/>
      <c r="C230" s="29"/>
      <c r="D230" s="36"/>
      <c r="E230" s="37"/>
      <c r="F230" s="36"/>
      <c r="G230" s="37"/>
      <c r="H230" s="37"/>
      <c r="I230" s="37"/>
      <c r="J230" s="37"/>
      <c r="K230" s="37"/>
      <c r="L230" s="37"/>
      <c r="M230" s="37"/>
      <c r="N230" s="29"/>
      <c r="O230" s="37"/>
      <c r="P230" s="29"/>
      <c r="Q230" s="37"/>
      <c r="R230" s="37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</row>
    <row r="231" spans="2:30">
      <c r="B231" s="29"/>
      <c r="C231" s="29"/>
      <c r="D231" s="36"/>
      <c r="E231" s="37"/>
      <c r="F231" s="36"/>
      <c r="G231" s="37"/>
      <c r="H231" s="37"/>
      <c r="I231" s="37"/>
      <c r="J231" s="37"/>
      <c r="K231" s="37"/>
      <c r="L231" s="37"/>
      <c r="M231" s="37"/>
      <c r="N231" s="29"/>
      <c r="O231" s="37"/>
      <c r="P231" s="29"/>
      <c r="Q231" s="37"/>
      <c r="R231" s="37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</row>
    <row r="232" spans="2:30">
      <c r="B232" s="29"/>
      <c r="C232" s="29"/>
      <c r="D232" s="36"/>
      <c r="E232" s="37"/>
      <c r="F232" s="36"/>
      <c r="G232" s="37"/>
      <c r="H232" s="37"/>
      <c r="I232" s="37"/>
      <c r="J232" s="37"/>
      <c r="K232" s="37"/>
      <c r="L232" s="37"/>
      <c r="M232" s="37"/>
      <c r="N232" s="29"/>
      <c r="O232" s="37"/>
      <c r="P232" s="29"/>
      <c r="Q232" s="37"/>
      <c r="R232" s="37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</row>
    <row r="233" spans="2:30">
      <c r="B233" s="29"/>
      <c r="C233" s="29"/>
      <c r="D233" s="36"/>
      <c r="E233" s="37"/>
      <c r="F233" s="36"/>
      <c r="G233" s="37"/>
      <c r="H233" s="37"/>
      <c r="I233" s="37"/>
      <c r="J233" s="37"/>
      <c r="K233" s="37"/>
      <c r="L233" s="37"/>
      <c r="M233" s="37"/>
      <c r="N233" s="29"/>
      <c r="O233" s="37"/>
      <c r="P233" s="29"/>
      <c r="Q233" s="37"/>
      <c r="R233" s="37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</row>
    <row r="234" spans="2:30">
      <c r="B234" s="29"/>
      <c r="C234" s="29"/>
      <c r="D234" s="36"/>
      <c r="E234" s="37"/>
      <c r="F234" s="36"/>
      <c r="G234" s="37"/>
      <c r="H234" s="37"/>
      <c r="I234" s="37"/>
      <c r="J234" s="37"/>
      <c r="K234" s="37"/>
      <c r="L234" s="37"/>
      <c r="M234" s="37"/>
      <c r="N234" s="29"/>
      <c r="O234" s="37"/>
      <c r="P234" s="29"/>
      <c r="Q234" s="37"/>
      <c r="R234" s="37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</row>
    <row r="235" spans="2:30">
      <c r="B235" s="29"/>
      <c r="C235" s="29"/>
      <c r="D235" s="36"/>
      <c r="E235" s="37"/>
      <c r="F235" s="36"/>
      <c r="G235" s="37"/>
      <c r="H235" s="37"/>
      <c r="I235" s="37"/>
      <c r="J235" s="37"/>
      <c r="K235" s="37"/>
      <c r="L235" s="37"/>
      <c r="M235" s="37"/>
      <c r="N235" s="29"/>
      <c r="O235" s="37"/>
      <c r="P235" s="29"/>
      <c r="Q235" s="37"/>
      <c r="R235" s="37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</row>
    <row r="236" spans="2:30">
      <c r="B236" s="29"/>
      <c r="C236" s="29"/>
      <c r="D236" s="36"/>
      <c r="E236" s="37"/>
      <c r="F236" s="36"/>
      <c r="G236" s="37"/>
      <c r="H236" s="37"/>
      <c r="I236" s="37"/>
      <c r="J236" s="37"/>
      <c r="K236" s="37"/>
      <c r="L236" s="37"/>
      <c r="M236" s="37"/>
      <c r="N236" s="29"/>
      <c r="O236" s="37"/>
      <c r="P236" s="29"/>
      <c r="Q236" s="37"/>
      <c r="R236" s="37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</row>
    <row r="237" spans="2:30">
      <c r="B237" s="29"/>
      <c r="C237" s="29"/>
      <c r="D237" s="36"/>
      <c r="E237" s="37"/>
      <c r="F237" s="36"/>
      <c r="G237" s="37"/>
      <c r="H237" s="37"/>
      <c r="I237" s="37"/>
      <c r="J237" s="37"/>
      <c r="K237" s="37"/>
      <c r="L237" s="37"/>
      <c r="M237" s="37"/>
      <c r="N237" s="29"/>
      <c r="O237" s="37"/>
      <c r="P237" s="29"/>
      <c r="Q237" s="37"/>
      <c r="R237" s="37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</row>
    <row r="238" spans="2:30">
      <c r="B238" s="29"/>
      <c r="C238" s="29"/>
      <c r="D238" s="36"/>
      <c r="E238" s="37"/>
      <c r="F238" s="36"/>
      <c r="G238" s="37"/>
      <c r="H238" s="37"/>
      <c r="I238" s="37"/>
      <c r="J238" s="37"/>
      <c r="K238" s="37"/>
      <c r="L238" s="37"/>
      <c r="M238" s="37"/>
      <c r="N238" s="29"/>
      <c r="O238" s="37"/>
      <c r="P238" s="29"/>
      <c r="Q238" s="37"/>
      <c r="R238" s="37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</row>
    <row r="239" spans="2:30">
      <c r="B239" s="29"/>
      <c r="C239" s="29"/>
      <c r="D239" s="36"/>
      <c r="E239" s="37"/>
      <c r="F239" s="36"/>
      <c r="G239" s="37"/>
      <c r="H239" s="37"/>
      <c r="I239" s="37"/>
      <c r="J239" s="37"/>
      <c r="K239" s="37"/>
      <c r="L239" s="37"/>
      <c r="M239" s="37"/>
      <c r="N239" s="29"/>
      <c r="O239" s="37"/>
      <c r="P239" s="29"/>
      <c r="Q239" s="37"/>
      <c r="R239" s="37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</row>
    <row r="240" spans="2:30">
      <c r="B240" s="29"/>
      <c r="C240" s="29"/>
      <c r="D240" s="36"/>
      <c r="E240" s="37"/>
      <c r="F240" s="36"/>
      <c r="G240" s="37"/>
      <c r="H240" s="37"/>
      <c r="I240" s="37"/>
      <c r="J240" s="37"/>
      <c r="K240" s="37"/>
      <c r="L240" s="37"/>
      <c r="M240" s="37"/>
      <c r="N240" s="29"/>
      <c r="O240" s="37"/>
      <c r="P240" s="29"/>
      <c r="Q240" s="37"/>
      <c r="R240" s="37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</row>
    <row r="241" spans="2:30">
      <c r="B241" s="29"/>
      <c r="C241" s="29"/>
      <c r="D241" s="36"/>
      <c r="E241" s="37"/>
      <c r="F241" s="36"/>
      <c r="G241" s="37"/>
      <c r="H241" s="37"/>
      <c r="I241" s="37"/>
      <c r="J241" s="37"/>
      <c r="K241" s="37"/>
      <c r="L241" s="37"/>
      <c r="M241" s="37"/>
      <c r="N241" s="29"/>
      <c r="O241" s="37"/>
      <c r="P241" s="29"/>
      <c r="Q241" s="37"/>
      <c r="R241" s="37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</row>
    <row r="242" spans="2:30">
      <c r="B242" s="29"/>
      <c r="C242" s="29"/>
      <c r="D242" s="36"/>
      <c r="E242" s="37"/>
      <c r="F242" s="36"/>
      <c r="G242" s="37"/>
      <c r="H242" s="37"/>
      <c r="I242" s="37"/>
      <c r="J242" s="37"/>
      <c r="K242" s="37"/>
      <c r="L242" s="37"/>
      <c r="M242" s="37"/>
      <c r="N242" s="29"/>
      <c r="O242" s="37"/>
      <c r="P242" s="29"/>
      <c r="Q242" s="37"/>
      <c r="R242" s="37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</row>
    <row r="243" spans="2:30">
      <c r="B243" s="29"/>
      <c r="C243" s="29"/>
      <c r="D243" s="36"/>
      <c r="E243" s="37"/>
      <c r="F243" s="36"/>
      <c r="G243" s="37"/>
      <c r="H243" s="37"/>
      <c r="I243" s="37"/>
      <c r="J243" s="37"/>
      <c r="K243" s="37"/>
      <c r="L243" s="37"/>
      <c r="M243" s="37"/>
      <c r="N243" s="29"/>
      <c r="O243" s="37"/>
      <c r="P243" s="29"/>
      <c r="Q243" s="37"/>
      <c r="R243" s="37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</row>
    <row r="244" spans="2:30">
      <c r="B244" s="29"/>
      <c r="C244" s="29"/>
      <c r="D244" s="36"/>
      <c r="E244" s="37"/>
      <c r="F244" s="36"/>
      <c r="G244" s="37"/>
      <c r="H244" s="37"/>
      <c r="I244" s="37"/>
      <c r="J244" s="37"/>
      <c r="K244" s="37"/>
      <c r="L244" s="37"/>
      <c r="M244" s="37"/>
      <c r="N244" s="29"/>
      <c r="O244" s="37"/>
      <c r="P244" s="29"/>
      <c r="Q244" s="37"/>
      <c r="R244" s="37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</row>
    <row r="245" spans="2:30">
      <c r="B245" s="29"/>
      <c r="C245" s="29"/>
      <c r="D245" s="36"/>
      <c r="E245" s="37"/>
      <c r="F245" s="36"/>
      <c r="G245" s="37"/>
      <c r="H245" s="37"/>
      <c r="I245" s="37"/>
      <c r="J245" s="37"/>
      <c r="K245" s="37"/>
      <c r="L245" s="37"/>
      <c r="M245" s="37"/>
      <c r="N245" s="29"/>
      <c r="O245" s="37"/>
      <c r="P245" s="29"/>
      <c r="Q245" s="37"/>
      <c r="R245" s="37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</row>
    <row r="246" spans="2:30">
      <c r="B246" s="29"/>
      <c r="C246" s="29"/>
      <c r="D246" s="36"/>
      <c r="E246" s="37"/>
      <c r="F246" s="36"/>
      <c r="G246" s="37"/>
      <c r="H246" s="37"/>
      <c r="I246" s="37"/>
      <c r="J246" s="37"/>
      <c r="K246" s="37"/>
      <c r="L246" s="37"/>
      <c r="M246" s="37"/>
      <c r="N246" s="29"/>
      <c r="O246" s="37"/>
      <c r="P246" s="29"/>
      <c r="Q246" s="37"/>
      <c r="R246" s="37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</row>
    <row r="247" spans="2:30">
      <c r="B247" s="29"/>
      <c r="C247" s="29"/>
      <c r="D247" s="36"/>
      <c r="E247" s="37"/>
      <c r="F247" s="36"/>
      <c r="G247" s="37"/>
      <c r="H247" s="37"/>
      <c r="I247" s="37"/>
      <c r="J247" s="37"/>
      <c r="K247" s="37"/>
      <c r="L247" s="37"/>
      <c r="M247" s="37"/>
      <c r="N247" s="29"/>
      <c r="O247" s="37"/>
      <c r="P247" s="29"/>
      <c r="Q247" s="37"/>
      <c r="R247" s="37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</row>
    <row r="248" spans="2:30">
      <c r="B248" s="29"/>
      <c r="C248" s="29"/>
      <c r="D248" s="36"/>
      <c r="E248" s="37"/>
      <c r="F248" s="36"/>
      <c r="G248" s="37"/>
      <c r="H248" s="37"/>
      <c r="I248" s="37"/>
      <c r="J248" s="37"/>
      <c r="K248" s="37"/>
      <c r="L248" s="37"/>
      <c r="M248" s="37"/>
      <c r="N248" s="29"/>
      <c r="O248" s="37"/>
      <c r="P248" s="29"/>
      <c r="Q248" s="37"/>
      <c r="R248" s="37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</row>
    <row r="249" spans="2:30">
      <c r="B249" s="29"/>
      <c r="C249" s="29"/>
      <c r="D249" s="36"/>
      <c r="E249" s="37"/>
      <c r="F249" s="36"/>
      <c r="G249" s="37"/>
      <c r="H249" s="37"/>
      <c r="I249" s="37"/>
      <c r="J249" s="37"/>
      <c r="K249" s="37"/>
      <c r="L249" s="37"/>
      <c r="M249" s="37"/>
      <c r="N249" s="29"/>
      <c r="O249" s="37"/>
      <c r="P249" s="29"/>
      <c r="Q249" s="37"/>
      <c r="R249" s="37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</row>
    <row r="250" spans="2:30">
      <c r="B250" s="29"/>
      <c r="C250" s="29"/>
      <c r="D250" s="36"/>
      <c r="E250" s="37"/>
      <c r="F250" s="36"/>
      <c r="G250" s="37"/>
      <c r="H250" s="37"/>
      <c r="I250" s="37"/>
      <c r="J250" s="37"/>
      <c r="K250" s="37"/>
      <c r="L250" s="37"/>
      <c r="M250" s="37"/>
      <c r="N250" s="29"/>
      <c r="O250" s="37"/>
      <c r="P250" s="29"/>
      <c r="Q250" s="37"/>
      <c r="R250" s="37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</row>
    <row r="251" spans="2:30">
      <c r="B251" s="29"/>
      <c r="C251" s="29"/>
      <c r="D251" s="36"/>
      <c r="E251" s="37"/>
      <c r="F251" s="36"/>
      <c r="G251" s="37"/>
      <c r="H251" s="37"/>
      <c r="I251" s="37"/>
      <c r="J251" s="37"/>
      <c r="K251" s="37"/>
      <c r="L251" s="37"/>
      <c r="M251" s="37"/>
      <c r="N251" s="29"/>
      <c r="O251" s="37"/>
      <c r="P251" s="29"/>
      <c r="Q251" s="37"/>
      <c r="R251" s="37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</row>
    <row r="252" spans="2:30">
      <c r="B252" s="29"/>
      <c r="C252" s="29"/>
      <c r="D252" s="36"/>
      <c r="E252" s="37"/>
      <c r="F252" s="36"/>
      <c r="G252" s="37"/>
      <c r="H252" s="37"/>
      <c r="I252" s="37"/>
      <c r="J252" s="37"/>
      <c r="K252" s="37"/>
      <c r="L252" s="37"/>
      <c r="M252" s="37"/>
      <c r="N252" s="29"/>
      <c r="O252" s="37"/>
      <c r="P252" s="29"/>
      <c r="Q252" s="37"/>
      <c r="R252" s="37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</row>
    <row r="253" spans="2:30">
      <c r="B253" s="29"/>
      <c r="C253" s="29"/>
      <c r="D253" s="36"/>
      <c r="E253" s="37"/>
      <c r="F253" s="36"/>
      <c r="G253" s="37"/>
      <c r="H253" s="37"/>
      <c r="I253" s="37"/>
      <c r="J253" s="37"/>
      <c r="K253" s="37"/>
      <c r="L253" s="37"/>
      <c r="M253" s="37"/>
      <c r="N253" s="29"/>
      <c r="O253" s="37"/>
      <c r="P253" s="29"/>
      <c r="Q253" s="37"/>
      <c r="R253" s="37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</row>
    <row r="254" spans="2:30">
      <c r="B254" s="29"/>
      <c r="C254" s="29"/>
      <c r="D254" s="36"/>
      <c r="E254" s="37"/>
      <c r="F254" s="36"/>
      <c r="G254" s="37"/>
      <c r="H254" s="37"/>
      <c r="I254" s="37"/>
      <c r="J254" s="37"/>
      <c r="K254" s="37"/>
      <c r="L254" s="37"/>
      <c r="M254" s="37"/>
      <c r="N254" s="29"/>
      <c r="O254" s="37"/>
      <c r="P254" s="29"/>
      <c r="Q254" s="37"/>
      <c r="R254" s="37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</row>
    <row r="255" spans="2:30">
      <c r="B255" s="29"/>
      <c r="C255" s="29"/>
      <c r="D255" s="36"/>
      <c r="E255" s="37"/>
      <c r="F255" s="36"/>
      <c r="G255" s="37"/>
      <c r="H255" s="37"/>
      <c r="I255" s="37"/>
      <c r="J255" s="37"/>
      <c r="K255" s="37"/>
      <c r="L255" s="37"/>
      <c r="M255" s="37"/>
      <c r="N255" s="29"/>
      <c r="O255" s="37"/>
      <c r="P255" s="29"/>
      <c r="Q255" s="37"/>
      <c r="R255" s="37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</row>
    <row r="256" spans="2:30">
      <c r="B256" s="29"/>
      <c r="C256" s="29"/>
      <c r="D256" s="36"/>
      <c r="E256" s="37"/>
      <c r="F256" s="36"/>
      <c r="G256" s="37"/>
      <c r="H256" s="37"/>
      <c r="I256" s="37"/>
      <c r="J256" s="37"/>
      <c r="K256" s="37"/>
      <c r="L256" s="37"/>
      <c r="M256" s="37"/>
      <c r="N256" s="29"/>
      <c r="O256" s="37"/>
      <c r="P256" s="29"/>
      <c r="Q256" s="37"/>
      <c r="R256" s="37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</row>
    <row r="257" spans="2:30">
      <c r="B257" s="29"/>
      <c r="C257" s="29"/>
      <c r="D257" s="36"/>
      <c r="E257" s="37"/>
      <c r="F257" s="36"/>
      <c r="G257" s="37"/>
      <c r="H257" s="37"/>
      <c r="I257" s="37"/>
      <c r="J257" s="37"/>
      <c r="K257" s="37"/>
      <c r="L257" s="37"/>
      <c r="M257" s="37"/>
      <c r="N257" s="29"/>
      <c r="O257" s="37"/>
      <c r="P257" s="29"/>
      <c r="Q257" s="37"/>
      <c r="R257" s="37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</row>
    <row r="258" spans="2:30">
      <c r="B258" s="29"/>
      <c r="C258" s="29"/>
      <c r="D258" s="36"/>
      <c r="E258" s="37"/>
      <c r="F258" s="36"/>
      <c r="G258" s="37"/>
      <c r="H258" s="37"/>
      <c r="I258" s="37"/>
      <c r="J258" s="37"/>
      <c r="K258" s="37"/>
      <c r="L258" s="37"/>
      <c r="M258" s="37"/>
      <c r="N258" s="29"/>
      <c r="O258" s="37"/>
      <c r="P258" s="29"/>
      <c r="Q258" s="37"/>
      <c r="R258" s="37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</row>
    <row r="259" spans="2:30">
      <c r="B259" s="29"/>
      <c r="C259" s="29"/>
      <c r="D259" s="36"/>
      <c r="E259" s="37"/>
      <c r="F259" s="36"/>
      <c r="G259" s="37"/>
      <c r="H259" s="37"/>
      <c r="I259" s="37"/>
      <c r="J259" s="37"/>
      <c r="K259" s="37"/>
      <c r="L259" s="37"/>
      <c r="M259" s="37"/>
      <c r="N259" s="29"/>
      <c r="O259" s="37"/>
      <c r="P259" s="29"/>
      <c r="Q259" s="37"/>
      <c r="R259" s="37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</row>
    <row r="260" spans="2:30">
      <c r="B260" s="29"/>
      <c r="C260" s="29"/>
      <c r="D260" s="36"/>
      <c r="E260" s="37"/>
      <c r="F260" s="36"/>
      <c r="G260" s="37"/>
      <c r="H260" s="37"/>
      <c r="I260" s="37"/>
      <c r="J260" s="37"/>
      <c r="K260" s="37"/>
      <c r="L260" s="37"/>
      <c r="M260" s="37"/>
      <c r="N260" s="29"/>
      <c r="O260" s="37"/>
      <c r="P260" s="29"/>
      <c r="Q260" s="37"/>
      <c r="R260" s="37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</row>
    <row r="261" spans="2:30">
      <c r="B261" s="29"/>
      <c r="C261" s="29"/>
      <c r="D261" s="36"/>
      <c r="E261" s="37"/>
      <c r="F261" s="36"/>
      <c r="G261" s="37"/>
      <c r="H261" s="37"/>
      <c r="I261" s="37"/>
      <c r="J261" s="37"/>
      <c r="K261" s="37"/>
      <c r="L261" s="37"/>
      <c r="M261" s="37"/>
      <c r="N261" s="29"/>
      <c r="O261" s="37"/>
      <c r="P261" s="29"/>
      <c r="Q261" s="37"/>
      <c r="R261" s="37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</row>
    <row r="262" spans="2:30">
      <c r="B262" s="29"/>
      <c r="C262" s="29"/>
      <c r="D262" s="36"/>
      <c r="E262" s="37"/>
      <c r="F262" s="36"/>
      <c r="G262" s="37"/>
      <c r="H262" s="37"/>
      <c r="I262" s="37"/>
      <c r="J262" s="37"/>
      <c r="K262" s="37"/>
      <c r="L262" s="37"/>
      <c r="M262" s="37"/>
      <c r="N262" s="29"/>
      <c r="O262" s="37"/>
      <c r="P262" s="29"/>
      <c r="Q262" s="37"/>
      <c r="R262" s="37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</row>
    <row r="263" spans="2:30">
      <c r="B263" s="29"/>
      <c r="C263" s="29"/>
      <c r="D263" s="36"/>
      <c r="E263" s="37"/>
      <c r="F263" s="36"/>
      <c r="G263" s="37"/>
      <c r="H263" s="37"/>
      <c r="I263" s="37"/>
      <c r="J263" s="37"/>
      <c r="K263" s="37"/>
      <c r="L263" s="37"/>
      <c r="M263" s="37"/>
      <c r="N263" s="29"/>
      <c r="O263" s="37"/>
      <c r="P263" s="29"/>
      <c r="Q263" s="37"/>
      <c r="R263" s="37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</row>
    <row r="264" spans="2:30">
      <c r="B264" s="29"/>
      <c r="C264" s="29"/>
      <c r="D264" s="36"/>
      <c r="E264" s="37"/>
      <c r="F264" s="36"/>
      <c r="G264" s="37"/>
      <c r="H264" s="37"/>
      <c r="I264" s="37"/>
      <c r="J264" s="37"/>
      <c r="K264" s="37"/>
      <c r="L264" s="37"/>
      <c r="M264" s="37"/>
      <c r="N264" s="29"/>
      <c r="O264" s="37"/>
      <c r="P264" s="29"/>
      <c r="Q264" s="37"/>
      <c r="R264" s="37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</row>
    <row r="265" spans="2:30">
      <c r="B265" s="29"/>
      <c r="C265" s="29"/>
      <c r="D265" s="36"/>
      <c r="E265" s="37"/>
      <c r="F265" s="36"/>
      <c r="G265" s="37"/>
      <c r="H265" s="37"/>
      <c r="I265" s="37"/>
      <c r="J265" s="37"/>
      <c r="K265" s="37"/>
      <c r="L265" s="37"/>
      <c r="M265" s="37"/>
      <c r="N265" s="29"/>
      <c r="O265" s="37"/>
      <c r="P265" s="29"/>
      <c r="Q265" s="37"/>
      <c r="R265" s="37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</row>
    <row r="266" spans="2:30">
      <c r="B266" s="29"/>
      <c r="C266" s="29"/>
      <c r="D266" s="36"/>
      <c r="E266" s="37"/>
      <c r="F266" s="36"/>
      <c r="G266" s="37"/>
      <c r="H266" s="37"/>
      <c r="I266" s="37"/>
      <c r="J266" s="37"/>
      <c r="K266" s="37"/>
      <c r="L266" s="37"/>
      <c r="M266" s="37"/>
      <c r="N266" s="29"/>
      <c r="O266" s="37"/>
      <c r="P266" s="29"/>
      <c r="Q266" s="37"/>
      <c r="R266" s="37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</row>
    <row r="267" spans="2:30">
      <c r="B267" s="29"/>
      <c r="C267" s="29"/>
      <c r="D267" s="36"/>
      <c r="E267" s="37"/>
      <c r="F267" s="36"/>
      <c r="G267" s="37"/>
      <c r="H267" s="37"/>
      <c r="I267" s="37"/>
      <c r="J267" s="37"/>
      <c r="K267" s="37"/>
      <c r="L267" s="37"/>
      <c r="M267" s="37"/>
      <c r="N267" s="29"/>
      <c r="O267" s="37"/>
      <c r="P267" s="29"/>
      <c r="Q267" s="37"/>
      <c r="R267" s="37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</row>
    <row r="268" spans="2:30">
      <c r="B268" s="29"/>
      <c r="C268" s="29"/>
      <c r="D268" s="36"/>
      <c r="E268" s="37"/>
      <c r="F268" s="36"/>
      <c r="G268" s="37"/>
      <c r="H268" s="37"/>
      <c r="I268" s="37"/>
      <c r="J268" s="37"/>
      <c r="K268" s="37"/>
      <c r="L268" s="37"/>
      <c r="M268" s="37"/>
      <c r="N268" s="29"/>
      <c r="O268" s="37"/>
      <c r="P268" s="29"/>
      <c r="Q268" s="37"/>
      <c r="R268" s="37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</row>
    <row r="269" spans="2:30">
      <c r="B269" s="29"/>
      <c r="C269" s="29"/>
      <c r="D269" s="36"/>
      <c r="E269" s="37"/>
      <c r="F269" s="36"/>
      <c r="G269" s="37"/>
      <c r="H269" s="37"/>
      <c r="I269" s="37"/>
      <c r="J269" s="37"/>
      <c r="K269" s="37"/>
      <c r="L269" s="37"/>
      <c r="M269" s="37"/>
      <c r="N269" s="29"/>
      <c r="O269" s="37"/>
      <c r="P269" s="29"/>
      <c r="Q269" s="37"/>
      <c r="R269" s="37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</row>
    <row r="270" spans="2:30">
      <c r="B270" s="29"/>
      <c r="C270" s="29"/>
      <c r="D270" s="36"/>
      <c r="E270" s="37"/>
      <c r="F270" s="36"/>
      <c r="G270" s="37"/>
      <c r="H270" s="37"/>
      <c r="I270" s="37"/>
      <c r="J270" s="37"/>
      <c r="K270" s="37"/>
      <c r="L270" s="37"/>
      <c r="M270" s="37"/>
      <c r="N270" s="29"/>
      <c r="O270" s="37"/>
      <c r="P270" s="29"/>
      <c r="Q270" s="37"/>
      <c r="R270" s="37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</row>
    <row r="271" spans="2:30">
      <c r="B271" s="29"/>
      <c r="C271" s="29"/>
      <c r="D271" s="36"/>
      <c r="E271" s="37"/>
      <c r="F271" s="36"/>
      <c r="G271" s="37"/>
      <c r="H271" s="37"/>
      <c r="I271" s="37"/>
      <c r="J271" s="37"/>
      <c r="K271" s="37"/>
      <c r="L271" s="37"/>
      <c r="M271" s="37"/>
      <c r="N271" s="29"/>
      <c r="O271" s="37"/>
      <c r="P271" s="29"/>
      <c r="Q271" s="37"/>
      <c r="R271" s="37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</row>
    <row r="272" spans="2:30">
      <c r="B272" s="29"/>
      <c r="C272" s="29"/>
      <c r="D272" s="36"/>
      <c r="E272" s="37"/>
      <c r="F272" s="36"/>
      <c r="G272" s="37"/>
      <c r="H272" s="37"/>
      <c r="I272" s="37"/>
      <c r="J272" s="37"/>
      <c r="K272" s="37"/>
      <c r="L272" s="37"/>
      <c r="M272" s="37"/>
      <c r="N272" s="29"/>
      <c r="O272" s="37"/>
      <c r="P272" s="29"/>
      <c r="Q272" s="37"/>
      <c r="R272" s="37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</row>
    <row r="273" spans="2:30">
      <c r="B273" s="29"/>
      <c r="C273" s="29"/>
      <c r="D273" s="36"/>
      <c r="E273" s="37"/>
      <c r="F273" s="36"/>
      <c r="G273" s="37"/>
      <c r="H273" s="37"/>
      <c r="I273" s="37"/>
      <c r="J273" s="37"/>
      <c r="K273" s="37"/>
      <c r="L273" s="37"/>
      <c r="M273" s="37"/>
      <c r="N273" s="29"/>
      <c r="O273" s="37"/>
      <c r="P273" s="29"/>
      <c r="Q273" s="37"/>
      <c r="R273" s="37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</row>
    <row r="274" spans="2:30">
      <c r="B274" s="29"/>
      <c r="C274" s="29"/>
      <c r="D274" s="36"/>
      <c r="E274" s="37"/>
      <c r="F274" s="36"/>
      <c r="G274" s="37"/>
      <c r="H274" s="37"/>
      <c r="I274" s="37"/>
      <c r="J274" s="37"/>
      <c r="K274" s="37"/>
      <c r="L274" s="37"/>
      <c r="M274" s="37"/>
      <c r="N274" s="29"/>
      <c r="O274" s="37"/>
      <c r="P274" s="29"/>
      <c r="Q274" s="37"/>
      <c r="R274" s="37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</row>
    <row r="275" spans="2:30">
      <c r="B275" s="29"/>
      <c r="C275" s="29"/>
      <c r="D275" s="36"/>
      <c r="E275" s="37"/>
      <c r="F275" s="36"/>
      <c r="G275" s="37"/>
      <c r="H275" s="37"/>
      <c r="I275" s="37"/>
      <c r="J275" s="37"/>
      <c r="K275" s="37"/>
      <c r="L275" s="37"/>
      <c r="M275" s="37"/>
      <c r="N275" s="29"/>
      <c r="O275" s="37"/>
      <c r="P275" s="29"/>
      <c r="Q275" s="37"/>
      <c r="R275" s="37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</row>
    <row r="276" spans="2:30">
      <c r="B276" s="29"/>
      <c r="C276" s="29"/>
      <c r="D276" s="36"/>
      <c r="E276" s="37"/>
      <c r="F276" s="36"/>
      <c r="G276" s="37"/>
      <c r="H276" s="37"/>
      <c r="I276" s="37"/>
      <c r="J276" s="37"/>
      <c r="K276" s="37"/>
      <c r="L276" s="37"/>
      <c r="M276" s="37"/>
      <c r="N276" s="29"/>
      <c r="O276" s="37"/>
      <c r="P276" s="29"/>
      <c r="Q276" s="37"/>
      <c r="R276" s="37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</row>
    <row r="277" spans="2:30">
      <c r="B277" s="29"/>
      <c r="C277" s="29"/>
      <c r="D277" s="36"/>
      <c r="E277" s="37"/>
      <c r="F277" s="36"/>
      <c r="G277" s="37"/>
      <c r="H277" s="37"/>
      <c r="I277" s="37"/>
      <c r="J277" s="37"/>
      <c r="K277" s="37"/>
      <c r="L277" s="37"/>
      <c r="M277" s="37"/>
      <c r="N277" s="29"/>
      <c r="O277" s="37"/>
      <c r="P277" s="29"/>
      <c r="Q277" s="37"/>
      <c r="R277" s="37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</row>
    <row r="278" spans="2:30">
      <c r="B278" s="29"/>
      <c r="C278" s="29"/>
      <c r="D278" s="36"/>
      <c r="E278" s="37"/>
      <c r="F278" s="36"/>
      <c r="G278" s="37"/>
      <c r="H278" s="37"/>
      <c r="I278" s="37"/>
      <c r="J278" s="37"/>
      <c r="K278" s="37"/>
      <c r="L278" s="37"/>
      <c r="M278" s="37"/>
      <c r="N278" s="29"/>
      <c r="O278" s="37"/>
      <c r="P278" s="29"/>
      <c r="Q278" s="37"/>
      <c r="R278" s="37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</row>
    <row r="279" spans="2:30">
      <c r="B279" s="29"/>
      <c r="C279" s="29"/>
      <c r="D279" s="36"/>
      <c r="E279" s="37"/>
      <c r="F279" s="36"/>
      <c r="G279" s="37"/>
      <c r="H279" s="37"/>
      <c r="I279" s="37"/>
      <c r="J279" s="37"/>
      <c r="K279" s="37"/>
      <c r="L279" s="37"/>
      <c r="M279" s="37"/>
      <c r="N279" s="29"/>
      <c r="O279" s="37"/>
      <c r="P279" s="29"/>
      <c r="Q279" s="37"/>
      <c r="R279" s="37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</row>
    <row r="280" spans="2:30">
      <c r="B280" s="29"/>
      <c r="C280" s="29"/>
      <c r="D280" s="36"/>
      <c r="E280" s="37"/>
      <c r="F280" s="36"/>
      <c r="G280" s="37"/>
      <c r="H280" s="37"/>
      <c r="I280" s="37"/>
      <c r="J280" s="37"/>
      <c r="K280" s="37"/>
      <c r="L280" s="37"/>
      <c r="M280" s="37"/>
      <c r="N280" s="29"/>
      <c r="O280" s="37"/>
      <c r="P280" s="29"/>
      <c r="Q280" s="37"/>
      <c r="R280" s="37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</row>
    <row r="281" spans="2:30">
      <c r="B281" s="29"/>
      <c r="C281" s="29"/>
      <c r="D281" s="36"/>
      <c r="E281" s="37"/>
      <c r="F281" s="36"/>
      <c r="G281" s="37"/>
      <c r="H281" s="37"/>
      <c r="I281" s="37"/>
      <c r="J281" s="37"/>
      <c r="K281" s="37"/>
      <c r="L281" s="37"/>
      <c r="M281" s="37"/>
      <c r="N281" s="29"/>
      <c r="O281" s="37"/>
      <c r="P281" s="29"/>
      <c r="Q281" s="37"/>
      <c r="R281" s="37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</row>
    <row r="282" spans="2:30">
      <c r="B282" s="29"/>
      <c r="C282" s="29"/>
      <c r="D282" s="36"/>
      <c r="E282" s="37"/>
      <c r="F282" s="36"/>
      <c r="G282" s="37"/>
      <c r="H282" s="37"/>
      <c r="I282" s="37"/>
      <c r="J282" s="37"/>
      <c r="K282" s="37"/>
      <c r="L282" s="37"/>
      <c r="M282" s="37"/>
      <c r="N282" s="29"/>
      <c r="O282" s="37"/>
      <c r="P282" s="29"/>
      <c r="Q282" s="37"/>
      <c r="R282" s="37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</row>
    <row r="283" spans="2:30">
      <c r="B283" s="29"/>
      <c r="C283" s="29"/>
      <c r="D283" s="36"/>
      <c r="E283" s="37"/>
      <c r="F283" s="36"/>
      <c r="G283" s="37"/>
      <c r="H283" s="37"/>
      <c r="I283" s="37"/>
      <c r="J283" s="37"/>
      <c r="K283" s="37"/>
      <c r="L283" s="37"/>
      <c r="M283" s="37"/>
      <c r="N283" s="29"/>
      <c r="O283" s="37"/>
      <c r="P283" s="29"/>
      <c r="Q283" s="37"/>
      <c r="R283" s="37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</row>
    <row r="284" spans="2:30">
      <c r="B284" s="29"/>
      <c r="C284" s="29"/>
      <c r="D284" s="36"/>
      <c r="E284" s="37"/>
      <c r="F284" s="36"/>
      <c r="G284" s="37"/>
      <c r="H284" s="37"/>
      <c r="I284" s="37"/>
      <c r="J284" s="37"/>
      <c r="K284" s="37"/>
      <c r="L284" s="37"/>
      <c r="M284" s="37"/>
      <c r="N284" s="29"/>
      <c r="O284" s="37"/>
      <c r="P284" s="29"/>
      <c r="Q284" s="37"/>
      <c r="R284" s="37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</row>
    <row r="285" spans="2:30">
      <c r="B285" s="29"/>
      <c r="C285" s="29"/>
      <c r="D285" s="36"/>
      <c r="E285" s="37"/>
      <c r="F285" s="36"/>
      <c r="G285" s="37"/>
      <c r="H285" s="37"/>
      <c r="I285" s="37"/>
      <c r="J285" s="37"/>
      <c r="K285" s="37"/>
      <c r="L285" s="37"/>
      <c r="M285" s="37"/>
      <c r="N285" s="29"/>
      <c r="O285" s="37"/>
      <c r="P285" s="29"/>
      <c r="Q285" s="37"/>
      <c r="R285" s="37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</row>
    <row r="286" spans="2:30">
      <c r="B286" s="29"/>
      <c r="C286" s="29"/>
      <c r="D286" s="36"/>
      <c r="E286" s="37"/>
      <c r="F286" s="36"/>
      <c r="G286" s="37"/>
      <c r="H286" s="37"/>
      <c r="I286" s="37"/>
      <c r="J286" s="37"/>
      <c r="K286" s="37"/>
      <c r="L286" s="37"/>
      <c r="M286" s="37"/>
      <c r="N286" s="29"/>
      <c r="O286" s="37"/>
      <c r="P286" s="29"/>
      <c r="Q286" s="37"/>
      <c r="R286" s="37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</row>
    <row r="287" spans="2:30">
      <c r="B287" s="29"/>
      <c r="C287" s="29"/>
      <c r="D287" s="36"/>
      <c r="E287" s="37"/>
      <c r="F287" s="36"/>
      <c r="G287" s="37"/>
      <c r="H287" s="37"/>
      <c r="I287" s="37"/>
      <c r="J287" s="37"/>
      <c r="K287" s="37"/>
      <c r="L287" s="37"/>
      <c r="M287" s="37"/>
      <c r="N287" s="29"/>
      <c r="O287" s="37"/>
      <c r="P287" s="29"/>
      <c r="Q287" s="37"/>
      <c r="R287" s="37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</row>
    <row r="288" spans="2:30">
      <c r="B288" s="29"/>
      <c r="C288" s="29"/>
      <c r="D288" s="36"/>
      <c r="E288" s="37"/>
      <c r="F288" s="36"/>
      <c r="G288" s="37"/>
      <c r="H288" s="37"/>
      <c r="I288" s="37"/>
      <c r="J288" s="37"/>
      <c r="K288" s="37"/>
      <c r="L288" s="37"/>
      <c r="M288" s="37"/>
      <c r="N288" s="29"/>
      <c r="O288" s="37"/>
      <c r="P288" s="29"/>
      <c r="Q288" s="37"/>
      <c r="R288" s="37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</row>
    <row r="289" spans="2:30">
      <c r="B289" s="29"/>
      <c r="C289" s="29"/>
      <c r="D289" s="36"/>
      <c r="E289" s="37"/>
      <c r="F289" s="36"/>
      <c r="G289" s="37"/>
      <c r="H289" s="37"/>
      <c r="I289" s="37"/>
      <c r="J289" s="37"/>
      <c r="K289" s="37"/>
      <c r="L289" s="37"/>
      <c r="M289" s="37"/>
      <c r="N289" s="29"/>
      <c r="O289" s="37"/>
      <c r="P289" s="29"/>
      <c r="Q289" s="37"/>
      <c r="R289" s="37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</row>
    <row r="290" spans="2:30">
      <c r="B290" s="29"/>
      <c r="C290" s="29"/>
      <c r="D290" s="36"/>
      <c r="E290" s="37"/>
      <c r="F290" s="36"/>
      <c r="G290" s="37"/>
      <c r="H290" s="37"/>
      <c r="I290" s="37"/>
      <c r="J290" s="37"/>
      <c r="K290" s="37"/>
      <c r="L290" s="37"/>
      <c r="M290" s="37"/>
      <c r="N290" s="29"/>
      <c r="O290" s="37"/>
      <c r="P290" s="29"/>
      <c r="Q290" s="37"/>
      <c r="R290" s="37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</row>
    <row r="291" spans="2:30">
      <c r="B291" s="29"/>
      <c r="C291" s="29"/>
      <c r="D291" s="36"/>
      <c r="E291" s="37"/>
      <c r="F291" s="36"/>
      <c r="G291" s="37"/>
      <c r="H291" s="37"/>
      <c r="I291" s="37"/>
      <c r="J291" s="37"/>
      <c r="K291" s="37"/>
      <c r="L291" s="37"/>
      <c r="M291" s="37"/>
      <c r="N291" s="29"/>
      <c r="O291" s="37"/>
      <c r="P291" s="29"/>
      <c r="Q291" s="37"/>
      <c r="R291" s="37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</row>
    <row r="292" spans="2:30">
      <c r="B292" s="29"/>
      <c r="C292" s="29"/>
      <c r="D292" s="36"/>
      <c r="E292" s="37"/>
      <c r="F292" s="36"/>
      <c r="G292" s="37"/>
      <c r="H292" s="37"/>
      <c r="I292" s="37"/>
      <c r="J292" s="37"/>
      <c r="K292" s="37"/>
      <c r="L292" s="37"/>
      <c r="M292" s="37"/>
      <c r="N292" s="29"/>
      <c r="O292" s="37"/>
      <c r="P292" s="29"/>
      <c r="Q292" s="37"/>
      <c r="R292" s="37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</row>
    <row r="293" spans="2:30">
      <c r="B293" s="29"/>
      <c r="C293" s="29"/>
      <c r="D293" s="36"/>
      <c r="E293" s="37"/>
      <c r="F293" s="36"/>
      <c r="G293" s="37"/>
      <c r="H293" s="37"/>
      <c r="I293" s="37"/>
      <c r="J293" s="37"/>
      <c r="K293" s="37"/>
      <c r="L293" s="37"/>
      <c r="M293" s="37"/>
      <c r="N293" s="29"/>
      <c r="O293" s="37"/>
      <c r="P293" s="29"/>
      <c r="Q293" s="37"/>
      <c r="R293" s="37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</row>
    <row r="294" spans="2:30">
      <c r="B294" s="29"/>
      <c r="C294" s="29"/>
      <c r="D294" s="36"/>
      <c r="E294" s="37"/>
      <c r="F294" s="36"/>
      <c r="G294" s="37"/>
      <c r="H294" s="37"/>
      <c r="I294" s="37"/>
      <c r="J294" s="37"/>
      <c r="K294" s="37"/>
      <c r="L294" s="37"/>
      <c r="M294" s="37"/>
      <c r="N294" s="29"/>
      <c r="O294" s="37"/>
      <c r="P294" s="29"/>
      <c r="Q294" s="37"/>
      <c r="R294" s="37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</row>
    <row r="295" spans="2:30">
      <c r="B295" s="29"/>
      <c r="C295" s="29"/>
      <c r="D295" s="36"/>
      <c r="E295" s="37"/>
      <c r="F295" s="36"/>
      <c r="G295" s="37"/>
      <c r="H295" s="37"/>
      <c r="I295" s="37"/>
      <c r="J295" s="37"/>
      <c r="K295" s="37"/>
      <c r="L295" s="37"/>
      <c r="M295" s="37"/>
      <c r="N295" s="29"/>
      <c r="O295" s="37"/>
      <c r="P295" s="29"/>
      <c r="Q295" s="37"/>
      <c r="R295" s="37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</row>
    <row r="296" spans="2:30">
      <c r="B296" s="29"/>
      <c r="C296" s="29"/>
      <c r="D296" s="36"/>
      <c r="E296" s="37"/>
      <c r="F296" s="36"/>
      <c r="G296" s="37"/>
      <c r="H296" s="37"/>
      <c r="I296" s="37"/>
      <c r="J296" s="37"/>
      <c r="K296" s="37"/>
      <c r="L296" s="37"/>
      <c r="M296" s="37"/>
      <c r="N296" s="29"/>
      <c r="O296" s="37"/>
      <c r="P296" s="29"/>
      <c r="Q296" s="37"/>
      <c r="R296" s="37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</row>
    <row r="297" spans="2:30">
      <c r="B297" s="29"/>
      <c r="C297" s="29"/>
      <c r="D297" s="36"/>
      <c r="E297" s="37"/>
      <c r="F297" s="36"/>
      <c r="G297" s="37"/>
      <c r="H297" s="37"/>
      <c r="I297" s="37"/>
      <c r="J297" s="37"/>
      <c r="K297" s="37"/>
      <c r="L297" s="37"/>
      <c r="M297" s="37"/>
      <c r="N297" s="29"/>
      <c r="O297" s="37"/>
      <c r="P297" s="29"/>
      <c r="Q297" s="37"/>
      <c r="R297" s="37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</row>
    <row r="298" spans="2:30">
      <c r="B298" s="29"/>
      <c r="C298" s="29"/>
      <c r="D298" s="36"/>
      <c r="E298" s="37"/>
      <c r="F298" s="36"/>
      <c r="G298" s="37"/>
      <c r="H298" s="37"/>
      <c r="I298" s="37"/>
      <c r="J298" s="37"/>
      <c r="K298" s="37"/>
      <c r="L298" s="37"/>
      <c r="M298" s="37"/>
      <c r="N298" s="29"/>
      <c r="O298" s="37"/>
      <c r="P298" s="29"/>
      <c r="Q298" s="37"/>
      <c r="R298" s="37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</row>
    <row r="299" spans="2:30">
      <c r="B299" s="29"/>
      <c r="C299" s="29"/>
      <c r="D299" s="36"/>
      <c r="E299" s="37"/>
      <c r="F299" s="36"/>
      <c r="G299" s="37"/>
      <c r="H299" s="37"/>
      <c r="I299" s="37"/>
      <c r="J299" s="37"/>
      <c r="K299" s="37"/>
      <c r="L299" s="37"/>
      <c r="M299" s="37"/>
      <c r="N299" s="29"/>
      <c r="O299" s="37"/>
      <c r="P299" s="29"/>
      <c r="Q299" s="37"/>
      <c r="R299" s="37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</row>
    <row r="300" spans="2:30">
      <c r="B300" s="29"/>
      <c r="C300" s="29"/>
      <c r="D300" s="36"/>
      <c r="E300" s="37"/>
      <c r="F300" s="36"/>
      <c r="G300" s="37"/>
      <c r="H300" s="37"/>
      <c r="I300" s="37"/>
      <c r="J300" s="37"/>
      <c r="K300" s="37"/>
      <c r="L300" s="37"/>
      <c r="M300" s="37"/>
      <c r="N300" s="29"/>
      <c r="O300" s="37"/>
      <c r="P300" s="29"/>
      <c r="Q300" s="37"/>
      <c r="R300" s="37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</row>
    <row r="301" spans="2:30">
      <c r="B301" s="29"/>
      <c r="C301" s="29"/>
      <c r="D301" s="36"/>
      <c r="E301" s="37"/>
      <c r="F301" s="36"/>
      <c r="G301" s="37"/>
      <c r="H301" s="37"/>
      <c r="I301" s="37"/>
      <c r="J301" s="37"/>
      <c r="K301" s="37"/>
      <c r="L301" s="37"/>
      <c r="M301" s="37"/>
      <c r="N301" s="29"/>
      <c r="O301" s="37"/>
      <c r="P301" s="29"/>
      <c r="Q301" s="37"/>
      <c r="R301" s="37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</row>
    <row r="302" spans="2:30">
      <c r="B302" s="29"/>
      <c r="C302" s="29"/>
      <c r="D302" s="36"/>
      <c r="E302" s="37"/>
      <c r="F302" s="36"/>
      <c r="G302" s="37"/>
      <c r="H302" s="37"/>
      <c r="I302" s="37"/>
      <c r="J302" s="37"/>
      <c r="K302" s="37"/>
      <c r="L302" s="37"/>
      <c r="M302" s="37"/>
      <c r="N302" s="29"/>
      <c r="O302" s="37"/>
      <c r="P302" s="29"/>
      <c r="Q302" s="37"/>
      <c r="R302" s="37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</row>
    <row r="303" spans="2:30">
      <c r="B303" s="29"/>
      <c r="C303" s="29"/>
      <c r="D303" s="36"/>
      <c r="E303" s="37"/>
      <c r="F303" s="36"/>
      <c r="G303" s="37"/>
      <c r="H303" s="37"/>
      <c r="I303" s="37"/>
      <c r="J303" s="37"/>
      <c r="K303" s="37"/>
      <c r="L303" s="37"/>
      <c r="M303" s="37"/>
      <c r="N303" s="29"/>
      <c r="O303" s="37"/>
      <c r="P303" s="29"/>
      <c r="Q303" s="37"/>
      <c r="R303" s="37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</row>
    <row r="304" spans="2:30">
      <c r="B304" s="29"/>
      <c r="C304" s="29"/>
      <c r="D304" s="36"/>
      <c r="E304" s="37"/>
      <c r="F304" s="36"/>
      <c r="G304" s="37"/>
      <c r="H304" s="37"/>
      <c r="I304" s="37"/>
      <c r="J304" s="37"/>
      <c r="K304" s="37"/>
      <c r="L304" s="37"/>
      <c r="M304" s="37"/>
      <c r="N304" s="29"/>
      <c r="O304" s="37"/>
      <c r="P304" s="29"/>
      <c r="Q304" s="37"/>
      <c r="R304" s="37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</row>
    <row r="305" spans="2:30">
      <c r="B305" s="29"/>
      <c r="C305" s="29"/>
      <c r="D305" s="36"/>
      <c r="E305" s="37"/>
      <c r="F305" s="36"/>
      <c r="G305" s="37"/>
      <c r="H305" s="37"/>
      <c r="I305" s="37"/>
      <c r="J305" s="37"/>
      <c r="K305" s="37"/>
      <c r="L305" s="37"/>
      <c r="M305" s="37"/>
      <c r="N305" s="29"/>
      <c r="O305" s="37"/>
      <c r="P305" s="29"/>
      <c r="Q305" s="37"/>
      <c r="R305" s="37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</row>
    <row r="306" spans="2:30">
      <c r="B306" s="29"/>
      <c r="C306" s="29"/>
      <c r="D306" s="36"/>
      <c r="E306" s="37"/>
      <c r="F306" s="36"/>
      <c r="G306" s="37"/>
      <c r="H306" s="37"/>
      <c r="I306" s="37"/>
      <c r="J306" s="37"/>
      <c r="K306" s="37"/>
      <c r="L306" s="37"/>
      <c r="M306" s="37"/>
      <c r="N306" s="29"/>
      <c r="O306" s="37"/>
      <c r="P306" s="29"/>
      <c r="Q306" s="37"/>
      <c r="R306" s="37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</row>
    <row r="307" spans="2:30">
      <c r="B307" s="29"/>
      <c r="C307" s="29"/>
      <c r="D307" s="36"/>
      <c r="E307" s="37"/>
      <c r="F307" s="36"/>
      <c r="G307" s="37"/>
      <c r="H307" s="37"/>
      <c r="I307" s="37"/>
      <c r="J307" s="37"/>
      <c r="K307" s="37"/>
      <c r="L307" s="37"/>
      <c r="M307" s="37"/>
      <c r="N307" s="29"/>
      <c r="O307" s="37"/>
      <c r="P307" s="29"/>
      <c r="Q307" s="37"/>
      <c r="R307" s="37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</row>
    <row r="308" spans="2:30">
      <c r="B308" s="29"/>
      <c r="C308" s="29"/>
      <c r="D308" s="36"/>
      <c r="E308" s="37"/>
      <c r="F308" s="36"/>
      <c r="G308" s="37"/>
      <c r="H308" s="37"/>
      <c r="I308" s="37"/>
      <c r="J308" s="37"/>
      <c r="K308" s="37"/>
      <c r="L308" s="37"/>
      <c r="M308" s="37"/>
      <c r="N308" s="29"/>
      <c r="O308" s="37"/>
      <c r="P308" s="29"/>
      <c r="Q308" s="37"/>
      <c r="R308" s="37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</row>
    <row r="309" spans="2:30">
      <c r="B309" s="29"/>
      <c r="C309" s="29"/>
      <c r="D309" s="36"/>
      <c r="E309" s="37"/>
      <c r="F309" s="36"/>
      <c r="G309" s="37"/>
      <c r="H309" s="37"/>
      <c r="I309" s="37"/>
      <c r="J309" s="37"/>
      <c r="K309" s="37"/>
      <c r="L309" s="37"/>
      <c r="M309" s="37"/>
      <c r="N309" s="29"/>
      <c r="O309" s="37"/>
      <c r="P309" s="29"/>
      <c r="Q309" s="37"/>
      <c r="R309" s="37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</row>
    <row r="310" spans="2:30">
      <c r="B310" s="29"/>
      <c r="C310" s="29"/>
      <c r="D310" s="36"/>
      <c r="E310" s="37"/>
      <c r="F310" s="36"/>
      <c r="G310" s="37"/>
      <c r="H310" s="37"/>
      <c r="I310" s="37"/>
      <c r="J310" s="37"/>
      <c r="K310" s="37"/>
      <c r="L310" s="37"/>
      <c r="M310" s="37"/>
      <c r="N310" s="29"/>
      <c r="O310" s="37"/>
      <c r="P310" s="29"/>
      <c r="Q310" s="37"/>
      <c r="R310" s="37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</row>
    <row r="311" spans="2:30">
      <c r="B311" s="29"/>
      <c r="C311" s="29"/>
      <c r="D311" s="36"/>
      <c r="E311" s="37"/>
      <c r="F311" s="36"/>
      <c r="G311" s="37"/>
      <c r="H311" s="37"/>
      <c r="I311" s="37"/>
      <c r="J311" s="37"/>
      <c r="K311" s="37"/>
      <c r="L311" s="37"/>
      <c r="M311" s="37"/>
      <c r="N311" s="29"/>
      <c r="O311" s="37"/>
      <c r="P311" s="29"/>
      <c r="Q311" s="37"/>
      <c r="R311" s="37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</row>
    <row r="312" spans="2:30">
      <c r="B312" s="29"/>
      <c r="C312" s="29"/>
      <c r="D312" s="36"/>
      <c r="E312" s="37"/>
      <c r="F312" s="36"/>
      <c r="G312" s="37"/>
      <c r="H312" s="37"/>
      <c r="I312" s="37"/>
      <c r="J312" s="37"/>
      <c r="K312" s="37"/>
      <c r="L312" s="37"/>
      <c r="M312" s="37"/>
      <c r="N312" s="29"/>
      <c r="O312" s="37"/>
      <c r="P312" s="29"/>
      <c r="Q312" s="37"/>
      <c r="R312" s="37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</row>
    <row r="313" spans="2:30">
      <c r="B313" s="29"/>
      <c r="C313" s="29"/>
      <c r="D313" s="36"/>
      <c r="E313" s="37"/>
      <c r="F313" s="36"/>
      <c r="G313" s="37"/>
      <c r="H313" s="37"/>
      <c r="I313" s="37"/>
      <c r="J313" s="37"/>
      <c r="K313" s="37"/>
      <c r="L313" s="37"/>
      <c r="M313" s="37"/>
      <c r="N313" s="29"/>
      <c r="O313" s="37"/>
      <c r="P313" s="29"/>
      <c r="Q313" s="37"/>
      <c r="R313" s="37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</row>
    <row r="314" spans="2:30">
      <c r="B314" s="29"/>
      <c r="C314" s="29"/>
      <c r="D314" s="36"/>
      <c r="E314" s="37"/>
      <c r="F314" s="36"/>
      <c r="G314" s="37"/>
      <c r="H314" s="37"/>
      <c r="I314" s="37"/>
      <c r="J314" s="37"/>
      <c r="K314" s="37"/>
      <c r="L314" s="37"/>
      <c r="M314" s="37"/>
      <c r="N314" s="29"/>
      <c r="O314" s="37"/>
      <c r="P314" s="29"/>
      <c r="Q314" s="37"/>
      <c r="R314" s="37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</row>
    <row r="315" spans="2:30">
      <c r="B315" s="29"/>
      <c r="C315" s="29"/>
      <c r="D315" s="36"/>
      <c r="E315" s="37"/>
      <c r="F315" s="36"/>
      <c r="G315" s="37"/>
      <c r="H315" s="37"/>
      <c r="I315" s="37"/>
      <c r="J315" s="37"/>
      <c r="K315" s="37"/>
      <c r="L315" s="37"/>
      <c r="M315" s="37"/>
      <c r="N315" s="29"/>
      <c r="O315" s="37"/>
      <c r="P315" s="29"/>
      <c r="Q315" s="37"/>
      <c r="R315" s="37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</row>
    <row r="316" spans="2:30">
      <c r="B316" s="29"/>
      <c r="C316" s="29"/>
      <c r="D316" s="36"/>
      <c r="E316" s="37"/>
      <c r="F316" s="36"/>
      <c r="G316" s="37"/>
      <c r="H316" s="37"/>
      <c r="I316" s="37"/>
      <c r="J316" s="37"/>
      <c r="K316" s="37"/>
      <c r="L316" s="37"/>
      <c r="M316" s="37"/>
      <c r="N316" s="29"/>
      <c r="O316" s="37"/>
      <c r="P316" s="29"/>
      <c r="Q316" s="37"/>
      <c r="R316" s="37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</row>
    <row r="317" spans="2:30">
      <c r="B317" s="29"/>
      <c r="C317" s="29"/>
      <c r="D317" s="36"/>
      <c r="E317" s="37"/>
      <c r="F317" s="36"/>
      <c r="G317" s="37"/>
      <c r="H317" s="37"/>
      <c r="I317" s="37"/>
      <c r="J317" s="37"/>
      <c r="K317" s="37"/>
      <c r="L317" s="37"/>
      <c r="M317" s="37"/>
      <c r="N317" s="29"/>
      <c r="O317" s="37"/>
      <c r="P317" s="29"/>
      <c r="Q317" s="37"/>
      <c r="R317" s="37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</row>
    <row r="318" spans="2:30">
      <c r="B318" s="29"/>
      <c r="C318" s="29"/>
      <c r="D318" s="36"/>
      <c r="E318" s="37"/>
      <c r="F318" s="36"/>
      <c r="G318" s="37"/>
      <c r="H318" s="37"/>
      <c r="I318" s="37"/>
      <c r="J318" s="37"/>
      <c r="K318" s="37"/>
      <c r="L318" s="37"/>
      <c r="M318" s="37"/>
      <c r="N318" s="29"/>
      <c r="O318" s="37"/>
      <c r="P318" s="29"/>
      <c r="Q318" s="37"/>
      <c r="R318" s="37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</row>
    <row r="319" spans="2:30">
      <c r="B319" s="29"/>
      <c r="C319" s="29"/>
      <c r="D319" s="36"/>
      <c r="E319" s="37"/>
      <c r="F319" s="36"/>
      <c r="G319" s="37"/>
      <c r="H319" s="37"/>
      <c r="I319" s="37"/>
      <c r="J319" s="37"/>
      <c r="K319" s="37"/>
      <c r="L319" s="37"/>
      <c r="M319" s="37"/>
      <c r="N319" s="29"/>
      <c r="O319" s="37"/>
      <c r="P319" s="29"/>
      <c r="Q319" s="37"/>
      <c r="R319" s="37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</row>
    <row r="320" spans="2:30">
      <c r="B320" s="29"/>
      <c r="C320" s="29"/>
      <c r="D320" s="36"/>
      <c r="E320" s="37"/>
      <c r="F320" s="36"/>
      <c r="G320" s="37"/>
      <c r="H320" s="37"/>
      <c r="I320" s="37"/>
      <c r="J320" s="37"/>
      <c r="K320" s="37"/>
      <c r="L320" s="37"/>
      <c r="M320" s="37"/>
      <c r="N320" s="29"/>
      <c r="O320" s="37"/>
      <c r="P320" s="29"/>
      <c r="Q320" s="37"/>
      <c r="R320" s="37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</row>
    <row r="321" spans="2:30">
      <c r="B321" s="29"/>
      <c r="C321" s="29"/>
      <c r="D321" s="36"/>
      <c r="E321" s="37"/>
      <c r="F321" s="36"/>
      <c r="G321" s="37"/>
      <c r="H321" s="37"/>
      <c r="I321" s="37"/>
      <c r="J321" s="37"/>
      <c r="K321" s="37"/>
      <c r="L321" s="37"/>
      <c r="M321" s="37"/>
      <c r="N321" s="29"/>
      <c r="O321" s="37"/>
      <c r="P321" s="29"/>
      <c r="Q321" s="37"/>
      <c r="R321" s="37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</row>
    <row r="322" spans="2:30">
      <c r="B322" s="29"/>
      <c r="C322" s="29"/>
      <c r="D322" s="36"/>
      <c r="E322" s="37"/>
      <c r="F322" s="36"/>
      <c r="G322" s="37"/>
      <c r="H322" s="37"/>
      <c r="I322" s="37"/>
      <c r="J322" s="37"/>
      <c r="K322" s="37"/>
      <c r="L322" s="37"/>
      <c r="M322" s="37"/>
      <c r="N322" s="29"/>
      <c r="O322" s="37"/>
      <c r="P322" s="29"/>
      <c r="Q322" s="37"/>
      <c r="R322" s="37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</row>
    <row r="323" spans="2:30">
      <c r="B323" s="29"/>
      <c r="C323" s="29"/>
      <c r="D323" s="36"/>
      <c r="E323" s="37"/>
      <c r="F323" s="36"/>
      <c r="G323" s="37"/>
      <c r="H323" s="37"/>
      <c r="I323" s="37"/>
      <c r="J323" s="37"/>
      <c r="K323" s="37"/>
      <c r="L323" s="37"/>
      <c r="M323" s="37"/>
      <c r="N323" s="29"/>
      <c r="O323" s="37"/>
      <c r="P323" s="29"/>
      <c r="Q323" s="37"/>
      <c r="R323" s="37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</row>
    <row r="324" spans="2:30">
      <c r="B324" s="29"/>
      <c r="C324" s="29"/>
      <c r="D324" s="36"/>
      <c r="E324" s="37"/>
      <c r="F324" s="36"/>
      <c r="G324" s="37"/>
      <c r="H324" s="37"/>
      <c r="I324" s="37"/>
      <c r="J324" s="37"/>
      <c r="K324" s="37"/>
      <c r="L324" s="37"/>
      <c r="M324" s="37"/>
      <c r="N324" s="29"/>
      <c r="O324" s="37"/>
      <c r="P324" s="29"/>
      <c r="Q324" s="37"/>
      <c r="R324" s="37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</row>
    <row r="325" spans="2:30">
      <c r="B325" s="29"/>
      <c r="C325" s="29"/>
      <c r="D325" s="36"/>
      <c r="E325" s="37"/>
      <c r="F325" s="36"/>
      <c r="G325" s="37"/>
      <c r="H325" s="37"/>
      <c r="I325" s="37"/>
      <c r="J325" s="37"/>
      <c r="K325" s="37"/>
      <c r="L325" s="37"/>
      <c r="M325" s="37"/>
      <c r="N325" s="29"/>
      <c r="O325" s="37"/>
      <c r="P325" s="29"/>
      <c r="Q325" s="37"/>
      <c r="R325" s="37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</row>
    <row r="326" spans="2:30">
      <c r="B326" s="29"/>
      <c r="C326" s="29"/>
      <c r="D326" s="36"/>
      <c r="E326" s="37"/>
      <c r="F326" s="36"/>
      <c r="G326" s="37"/>
      <c r="H326" s="37"/>
      <c r="I326" s="37"/>
      <c r="J326" s="37"/>
      <c r="K326" s="37"/>
      <c r="L326" s="37"/>
      <c r="M326" s="37"/>
      <c r="N326" s="29"/>
      <c r="O326" s="37"/>
      <c r="P326" s="29"/>
      <c r="Q326" s="37"/>
      <c r="R326" s="37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</row>
    <row r="327" spans="2:30">
      <c r="B327" s="29"/>
      <c r="C327" s="29"/>
      <c r="D327" s="36"/>
      <c r="E327" s="37"/>
      <c r="F327" s="36"/>
      <c r="G327" s="37"/>
      <c r="H327" s="37"/>
      <c r="I327" s="37"/>
      <c r="J327" s="37"/>
      <c r="K327" s="37"/>
      <c r="L327" s="37"/>
      <c r="M327" s="37"/>
      <c r="N327" s="29"/>
      <c r="O327" s="37"/>
      <c r="P327" s="29"/>
      <c r="Q327" s="37"/>
      <c r="R327" s="37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</row>
    <row r="328" spans="2:30">
      <c r="B328" s="29"/>
      <c r="C328" s="29"/>
      <c r="D328" s="36"/>
      <c r="E328" s="37"/>
      <c r="F328" s="36"/>
      <c r="G328" s="37"/>
      <c r="H328" s="37"/>
      <c r="I328" s="37"/>
      <c r="J328" s="37"/>
      <c r="K328" s="37"/>
      <c r="L328" s="37"/>
      <c r="M328" s="37"/>
      <c r="N328" s="29"/>
      <c r="O328" s="37"/>
      <c r="P328" s="29"/>
      <c r="Q328" s="37"/>
      <c r="R328" s="37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</row>
    <row r="329" spans="2:30">
      <c r="B329" s="29"/>
      <c r="C329" s="29"/>
      <c r="D329" s="36"/>
      <c r="E329" s="37"/>
      <c r="F329" s="36"/>
      <c r="G329" s="37"/>
      <c r="H329" s="37"/>
      <c r="I329" s="37"/>
      <c r="J329" s="37"/>
      <c r="K329" s="37"/>
      <c r="L329" s="37"/>
      <c r="M329" s="37"/>
      <c r="N329" s="29"/>
      <c r="O329" s="37"/>
      <c r="P329" s="29"/>
      <c r="Q329" s="37"/>
      <c r="R329" s="37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</row>
    <row r="330" spans="2:30">
      <c r="B330" s="29"/>
      <c r="C330" s="29"/>
      <c r="D330" s="36"/>
      <c r="E330" s="37"/>
      <c r="F330" s="36"/>
      <c r="G330" s="37"/>
      <c r="H330" s="37"/>
      <c r="I330" s="37"/>
      <c r="J330" s="37"/>
      <c r="K330" s="37"/>
      <c r="L330" s="37"/>
      <c r="M330" s="37"/>
      <c r="N330" s="29"/>
      <c r="O330" s="37"/>
      <c r="P330" s="29"/>
      <c r="Q330" s="37"/>
      <c r="R330" s="37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</row>
    <row r="331" spans="2:30">
      <c r="B331" s="29"/>
      <c r="C331" s="29"/>
      <c r="D331" s="36"/>
      <c r="E331" s="37"/>
      <c r="F331" s="36"/>
      <c r="G331" s="37"/>
      <c r="H331" s="37"/>
      <c r="I331" s="37"/>
      <c r="J331" s="37"/>
      <c r="K331" s="37"/>
      <c r="L331" s="37"/>
      <c r="M331" s="37"/>
      <c r="N331" s="29"/>
      <c r="O331" s="37"/>
      <c r="P331" s="29"/>
      <c r="Q331" s="37"/>
      <c r="R331" s="37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</row>
    <row r="332" spans="2:30">
      <c r="B332" s="29"/>
      <c r="C332" s="29"/>
      <c r="D332" s="36"/>
      <c r="E332" s="37"/>
      <c r="F332" s="36"/>
      <c r="G332" s="37"/>
      <c r="H332" s="37"/>
      <c r="I332" s="37"/>
      <c r="J332" s="37"/>
      <c r="K332" s="37"/>
      <c r="L332" s="37"/>
      <c r="M332" s="37"/>
      <c r="N332" s="29"/>
      <c r="O332" s="37"/>
      <c r="P332" s="29"/>
      <c r="Q332" s="37"/>
      <c r="R332" s="37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</row>
    <row r="333" spans="2:30">
      <c r="B333" s="29"/>
      <c r="C333" s="29"/>
      <c r="D333" s="36"/>
      <c r="E333" s="37"/>
      <c r="F333" s="36"/>
      <c r="G333" s="37"/>
      <c r="H333" s="37"/>
      <c r="I333" s="37"/>
      <c r="J333" s="37"/>
      <c r="K333" s="37"/>
      <c r="L333" s="37"/>
      <c r="M333" s="37"/>
      <c r="N333" s="29"/>
      <c r="O333" s="37"/>
      <c r="P333" s="29"/>
      <c r="Q333" s="37"/>
      <c r="R333" s="37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</row>
    <row r="334" spans="2:30">
      <c r="B334" s="29"/>
      <c r="C334" s="29"/>
      <c r="D334" s="36"/>
      <c r="E334" s="37"/>
      <c r="F334" s="36"/>
      <c r="G334" s="37"/>
      <c r="H334" s="37"/>
      <c r="I334" s="37"/>
      <c r="J334" s="37"/>
      <c r="K334" s="37"/>
      <c r="L334" s="37"/>
      <c r="M334" s="37"/>
      <c r="N334" s="29"/>
      <c r="O334" s="37"/>
      <c r="P334" s="29"/>
      <c r="Q334" s="37"/>
      <c r="R334" s="37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</row>
    <row r="335" spans="2:30">
      <c r="B335" s="29"/>
      <c r="C335" s="29"/>
      <c r="D335" s="36"/>
      <c r="E335" s="37"/>
      <c r="F335" s="36"/>
      <c r="G335" s="37"/>
      <c r="H335" s="37"/>
      <c r="I335" s="37"/>
      <c r="J335" s="37"/>
      <c r="K335" s="37"/>
      <c r="L335" s="37"/>
      <c r="M335" s="37"/>
      <c r="N335" s="29"/>
      <c r="O335" s="37"/>
      <c r="P335" s="29"/>
      <c r="Q335" s="37"/>
      <c r="R335" s="37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</row>
    <row r="336" spans="2:30">
      <c r="B336" s="29"/>
      <c r="C336" s="29"/>
      <c r="D336" s="36"/>
      <c r="E336" s="37"/>
      <c r="F336" s="36"/>
      <c r="G336" s="37"/>
      <c r="H336" s="37"/>
      <c r="I336" s="37"/>
      <c r="J336" s="37"/>
      <c r="K336" s="37"/>
      <c r="L336" s="37"/>
      <c r="M336" s="37"/>
      <c r="N336" s="29"/>
      <c r="O336" s="37"/>
      <c r="P336" s="29"/>
      <c r="Q336" s="37"/>
      <c r="R336" s="37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</row>
    <row r="337" spans="2:30">
      <c r="B337" s="29"/>
      <c r="C337" s="29"/>
      <c r="D337" s="36"/>
      <c r="E337" s="37"/>
      <c r="F337" s="36"/>
      <c r="G337" s="37"/>
      <c r="H337" s="37"/>
      <c r="I337" s="37"/>
      <c r="J337" s="37"/>
      <c r="K337" s="37"/>
      <c r="L337" s="37"/>
      <c r="M337" s="37"/>
      <c r="N337" s="29"/>
      <c r="O337" s="37"/>
      <c r="P337" s="29"/>
      <c r="Q337" s="37"/>
      <c r="R337" s="37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</row>
    <row r="338" spans="2:30">
      <c r="B338" s="29"/>
      <c r="C338" s="29"/>
      <c r="D338" s="36"/>
      <c r="E338" s="37"/>
      <c r="F338" s="36"/>
      <c r="G338" s="37"/>
      <c r="H338" s="37"/>
      <c r="I338" s="37"/>
      <c r="J338" s="37"/>
      <c r="K338" s="37"/>
      <c r="L338" s="37"/>
      <c r="M338" s="37"/>
      <c r="N338" s="29"/>
      <c r="O338" s="37"/>
      <c r="P338" s="29"/>
      <c r="Q338" s="37"/>
      <c r="R338" s="37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</row>
    <row r="339" spans="2:30">
      <c r="B339" s="29"/>
      <c r="C339" s="29"/>
      <c r="D339" s="36"/>
      <c r="E339" s="37"/>
      <c r="F339" s="36"/>
      <c r="G339" s="37"/>
      <c r="H339" s="37"/>
      <c r="I339" s="37"/>
      <c r="J339" s="37"/>
      <c r="K339" s="37"/>
      <c r="L339" s="37"/>
      <c r="M339" s="37"/>
      <c r="N339" s="29"/>
      <c r="O339" s="37"/>
      <c r="P339" s="29"/>
      <c r="Q339" s="37"/>
      <c r="R339" s="37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</row>
    <row r="340" spans="2:30">
      <c r="B340" s="29"/>
      <c r="C340" s="29"/>
      <c r="D340" s="36"/>
      <c r="E340" s="37"/>
      <c r="F340" s="36"/>
      <c r="G340" s="37"/>
      <c r="H340" s="37"/>
      <c r="I340" s="37"/>
      <c r="J340" s="37"/>
      <c r="K340" s="37"/>
      <c r="L340" s="37"/>
      <c r="M340" s="37"/>
      <c r="N340" s="29"/>
      <c r="O340" s="37"/>
      <c r="P340" s="29"/>
      <c r="Q340" s="37"/>
      <c r="R340" s="37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</row>
    <row r="341" spans="2:30">
      <c r="B341" s="29"/>
      <c r="C341" s="29"/>
      <c r="D341" s="36"/>
      <c r="E341" s="37"/>
      <c r="F341" s="36"/>
      <c r="G341" s="37"/>
      <c r="H341" s="37"/>
      <c r="I341" s="37"/>
      <c r="J341" s="37"/>
      <c r="K341" s="37"/>
      <c r="L341" s="37"/>
      <c r="M341" s="37"/>
      <c r="N341" s="29"/>
      <c r="O341" s="37"/>
      <c r="P341" s="29"/>
      <c r="Q341" s="37"/>
      <c r="R341" s="37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</row>
    <row r="342" spans="2:30">
      <c r="B342" s="29"/>
      <c r="C342" s="29"/>
      <c r="D342" s="36"/>
      <c r="E342" s="37"/>
      <c r="F342" s="36"/>
      <c r="G342" s="37"/>
      <c r="H342" s="37"/>
      <c r="I342" s="37"/>
      <c r="J342" s="37"/>
      <c r="K342" s="37"/>
      <c r="L342" s="37"/>
      <c r="M342" s="37"/>
      <c r="N342" s="29"/>
      <c r="O342" s="37"/>
      <c r="P342" s="29"/>
      <c r="Q342" s="37"/>
      <c r="R342" s="37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</row>
    <row r="343" spans="2:30">
      <c r="B343" s="29"/>
      <c r="C343" s="29"/>
      <c r="D343" s="36"/>
      <c r="E343" s="37"/>
      <c r="F343" s="36"/>
      <c r="G343" s="37"/>
      <c r="H343" s="37"/>
      <c r="I343" s="37"/>
      <c r="J343" s="37"/>
      <c r="K343" s="37"/>
      <c r="L343" s="37"/>
      <c r="M343" s="37"/>
      <c r="N343" s="29"/>
      <c r="O343" s="37"/>
      <c r="P343" s="29"/>
      <c r="Q343" s="37"/>
      <c r="R343" s="37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</row>
    <row r="344" spans="2:30">
      <c r="B344" s="29"/>
      <c r="C344" s="29"/>
      <c r="D344" s="36"/>
      <c r="E344" s="37"/>
      <c r="F344" s="36"/>
      <c r="G344" s="37"/>
      <c r="H344" s="37"/>
      <c r="I344" s="37"/>
      <c r="J344" s="37"/>
      <c r="K344" s="37"/>
      <c r="L344" s="37"/>
      <c r="M344" s="37"/>
      <c r="N344" s="29"/>
      <c r="O344" s="37"/>
      <c r="P344" s="29"/>
      <c r="Q344" s="37"/>
      <c r="R344" s="37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</row>
    <row r="345" spans="2:30">
      <c r="B345" s="29"/>
      <c r="C345" s="29"/>
      <c r="D345" s="36"/>
      <c r="E345" s="37"/>
      <c r="F345" s="36"/>
      <c r="G345" s="37"/>
      <c r="H345" s="37"/>
      <c r="I345" s="37"/>
      <c r="J345" s="37"/>
      <c r="K345" s="37"/>
      <c r="L345" s="37"/>
      <c r="M345" s="37"/>
      <c r="N345" s="29"/>
      <c r="O345" s="37"/>
      <c r="P345" s="29"/>
      <c r="Q345" s="37"/>
      <c r="R345" s="37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</row>
    <row r="346" spans="2:30">
      <c r="B346" s="29"/>
      <c r="C346" s="29"/>
      <c r="D346" s="36"/>
      <c r="E346" s="37"/>
      <c r="F346" s="36"/>
      <c r="G346" s="37"/>
      <c r="H346" s="37"/>
      <c r="I346" s="37"/>
      <c r="J346" s="37"/>
      <c r="K346" s="37"/>
      <c r="L346" s="37"/>
      <c r="M346" s="37"/>
      <c r="N346" s="29"/>
      <c r="O346" s="37"/>
      <c r="P346" s="29"/>
      <c r="Q346" s="37"/>
      <c r="R346" s="37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</row>
    <row r="347" spans="2:30">
      <c r="B347" s="29"/>
      <c r="C347" s="29"/>
      <c r="D347" s="36"/>
      <c r="E347" s="37"/>
      <c r="F347" s="36"/>
      <c r="G347" s="37"/>
      <c r="H347" s="37"/>
      <c r="I347" s="37"/>
      <c r="J347" s="37"/>
      <c r="K347" s="37"/>
      <c r="L347" s="37"/>
      <c r="M347" s="37"/>
      <c r="N347" s="29"/>
      <c r="O347" s="37"/>
      <c r="P347" s="29"/>
      <c r="Q347" s="37"/>
      <c r="R347" s="37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</row>
    <row r="348" spans="2:30">
      <c r="B348" s="29"/>
      <c r="C348" s="29"/>
      <c r="D348" s="36"/>
      <c r="E348" s="37"/>
      <c r="F348" s="36"/>
      <c r="G348" s="37"/>
      <c r="H348" s="37"/>
      <c r="I348" s="37"/>
      <c r="J348" s="37"/>
      <c r="K348" s="37"/>
      <c r="L348" s="37"/>
      <c r="M348" s="37"/>
      <c r="N348" s="29"/>
      <c r="O348" s="37"/>
      <c r="P348" s="29"/>
      <c r="Q348" s="37"/>
      <c r="R348" s="37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</row>
    <row r="349" spans="2:30">
      <c r="B349" s="29"/>
      <c r="C349" s="29"/>
      <c r="D349" s="36"/>
      <c r="E349" s="37"/>
      <c r="F349" s="36"/>
      <c r="G349" s="37"/>
      <c r="H349" s="37"/>
      <c r="I349" s="37"/>
      <c r="J349" s="37"/>
      <c r="K349" s="37"/>
      <c r="L349" s="37"/>
      <c r="M349" s="37"/>
      <c r="N349" s="29"/>
      <c r="O349" s="37"/>
      <c r="P349" s="29"/>
      <c r="Q349" s="37"/>
      <c r="R349" s="37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</row>
    <row r="350" spans="2:30">
      <c r="B350" s="29"/>
      <c r="C350" s="29"/>
      <c r="D350" s="36"/>
      <c r="E350" s="37"/>
      <c r="F350" s="36"/>
      <c r="G350" s="37"/>
      <c r="H350" s="37"/>
      <c r="I350" s="37"/>
      <c r="J350" s="37"/>
      <c r="K350" s="37"/>
      <c r="L350" s="37"/>
      <c r="M350" s="37"/>
      <c r="N350" s="29"/>
      <c r="O350" s="37"/>
      <c r="P350" s="29"/>
      <c r="Q350" s="37"/>
      <c r="R350" s="37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</row>
    <row r="351" spans="2:30">
      <c r="B351" s="29"/>
      <c r="C351" s="29"/>
      <c r="D351" s="36"/>
      <c r="E351" s="37"/>
      <c r="F351" s="36"/>
      <c r="G351" s="37"/>
      <c r="H351" s="37"/>
      <c r="I351" s="37"/>
      <c r="J351" s="37"/>
      <c r="K351" s="37"/>
      <c r="L351" s="37"/>
      <c r="M351" s="37"/>
      <c r="N351" s="29"/>
      <c r="O351" s="37"/>
      <c r="P351" s="29"/>
      <c r="Q351" s="37"/>
      <c r="R351" s="37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</row>
    <row r="352" spans="2:30">
      <c r="B352" s="29"/>
      <c r="C352" s="29"/>
      <c r="D352" s="36"/>
      <c r="E352" s="37"/>
      <c r="F352" s="36"/>
      <c r="G352" s="37"/>
      <c r="H352" s="37"/>
      <c r="I352" s="37"/>
      <c r="J352" s="37"/>
      <c r="K352" s="37"/>
      <c r="L352" s="37"/>
      <c r="M352" s="37"/>
      <c r="N352" s="29"/>
      <c r="O352" s="37"/>
      <c r="P352" s="29"/>
      <c r="Q352" s="37"/>
      <c r="R352" s="37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</row>
    <row r="353" spans="2:30">
      <c r="B353" s="29"/>
      <c r="C353" s="29"/>
      <c r="D353" s="36"/>
      <c r="E353" s="37"/>
      <c r="F353" s="36"/>
      <c r="G353" s="37"/>
      <c r="H353" s="37"/>
      <c r="I353" s="37"/>
      <c r="J353" s="37"/>
      <c r="K353" s="37"/>
      <c r="L353" s="37"/>
      <c r="M353" s="37"/>
      <c r="N353" s="29"/>
      <c r="O353" s="37"/>
      <c r="P353" s="29"/>
      <c r="Q353" s="37"/>
      <c r="R353" s="37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</row>
    <row r="354" spans="2:30">
      <c r="B354" s="29"/>
      <c r="C354" s="29"/>
      <c r="D354" s="36"/>
      <c r="E354" s="37"/>
      <c r="F354" s="36"/>
      <c r="G354" s="37"/>
      <c r="H354" s="37"/>
      <c r="I354" s="37"/>
      <c r="J354" s="37"/>
      <c r="K354" s="37"/>
      <c r="L354" s="37"/>
      <c r="M354" s="37"/>
      <c r="N354" s="29"/>
      <c r="O354" s="37"/>
      <c r="P354" s="29"/>
      <c r="Q354" s="37"/>
      <c r="R354" s="37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</row>
    <row r="355" spans="2:30">
      <c r="B355" s="29"/>
      <c r="C355" s="29"/>
      <c r="D355" s="36"/>
      <c r="E355" s="37"/>
      <c r="F355" s="36"/>
      <c r="G355" s="37"/>
      <c r="H355" s="37"/>
      <c r="I355" s="37"/>
      <c r="J355" s="37"/>
      <c r="K355" s="37"/>
      <c r="L355" s="37"/>
      <c r="M355" s="37"/>
      <c r="N355" s="29"/>
      <c r="O355" s="37"/>
      <c r="P355" s="29"/>
      <c r="Q355" s="37"/>
      <c r="R355" s="37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</row>
    <row r="356" spans="2:30">
      <c r="B356" s="29"/>
      <c r="C356" s="29"/>
      <c r="D356" s="36"/>
      <c r="E356" s="37"/>
      <c r="F356" s="36"/>
      <c r="G356" s="37"/>
      <c r="H356" s="37"/>
      <c r="I356" s="37"/>
      <c r="J356" s="37"/>
      <c r="K356" s="37"/>
      <c r="L356" s="37"/>
      <c r="M356" s="37"/>
      <c r="N356" s="29"/>
      <c r="O356" s="37"/>
      <c r="P356" s="29"/>
      <c r="Q356" s="37"/>
      <c r="R356" s="37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</row>
    <row r="357" spans="2:30">
      <c r="B357" s="29"/>
      <c r="C357" s="29"/>
      <c r="D357" s="36"/>
      <c r="E357" s="37"/>
      <c r="F357" s="36"/>
      <c r="G357" s="37"/>
      <c r="H357" s="37"/>
      <c r="I357" s="37"/>
      <c r="J357" s="37"/>
      <c r="K357" s="37"/>
      <c r="L357" s="37"/>
      <c r="M357" s="37"/>
      <c r="N357" s="29"/>
      <c r="O357" s="37"/>
      <c r="P357" s="29"/>
      <c r="Q357" s="37"/>
      <c r="R357" s="37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</row>
    <row r="358" spans="2:30">
      <c r="B358" s="29"/>
      <c r="C358" s="29"/>
      <c r="D358" s="36"/>
      <c r="E358" s="37"/>
      <c r="F358" s="36"/>
      <c r="G358" s="37"/>
      <c r="H358" s="37"/>
      <c r="I358" s="37"/>
      <c r="J358" s="37"/>
      <c r="K358" s="37"/>
      <c r="L358" s="37"/>
      <c r="M358" s="37"/>
      <c r="N358" s="29"/>
      <c r="O358" s="37"/>
      <c r="P358" s="29"/>
      <c r="Q358" s="37"/>
      <c r="R358" s="37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</row>
    <row r="359" spans="2:30">
      <c r="B359" s="29"/>
      <c r="C359" s="29"/>
      <c r="D359" s="36"/>
      <c r="E359" s="37"/>
      <c r="F359" s="36"/>
      <c r="G359" s="37"/>
      <c r="H359" s="37"/>
      <c r="I359" s="37"/>
      <c r="J359" s="37"/>
      <c r="K359" s="37"/>
      <c r="L359" s="37"/>
      <c r="M359" s="37"/>
      <c r="N359" s="29"/>
      <c r="O359" s="37"/>
      <c r="P359" s="29"/>
      <c r="Q359" s="37"/>
      <c r="R359" s="37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</row>
    <row r="360" spans="2:30">
      <c r="B360" s="29"/>
      <c r="C360" s="29"/>
      <c r="D360" s="36"/>
      <c r="E360" s="37"/>
      <c r="F360" s="36"/>
      <c r="G360" s="37"/>
      <c r="H360" s="37"/>
      <c r="I360" s="37"/>
      <c r="J360" s="37"/>
      <c r="K360" s="37"/>
      <c r="L360" s="37"/>
      <c r="M360" s="37"/>
      <c r="N360" s="29"/>
      <c r="O360" s="37"/>
      <c r="P360" s="29"/>
      <c r="Q360" s="37"/>
      <c r="R360" s="37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</row>
    <row r="361" spans="2:30">
      <c r="B361" s="29"/>
      <c r="C361" s="29"/>
      <c r="D361" s="36"/>
      <c r="E361" s="37"/>
      <c r="F361" s="36"/>
      <c r="G361" s="37"/>
      <c r="H361" s="37"/>
      <c r="I361" s="37"/>
      <c r="J361" s="37"/>
      <c r="K361" s="37"/>
      <c r="L361" s="37"/>
      <c r="M361" s="37"/>
      <c r="N361" s="29"/>
      <c r="O361" s="37"/>
      <c r="P361" s="29"/>
      <c r="Q361" s="37"/>
      <c r="R361" s="37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</row>
    <row r="362" spans="2:30">
      <c r="B362" s="29"/>
      <c r="C362" s="29"/>
      <c r="D362" s="36"/>
      <c r="E362" s="37"/>
      <c r="F362" s="36"/>
      <c r="G362" s="37"/>
      <c r="H362" s="37"/>
      <c r="I362" s="37"/>
      <c r="J362" s="37"/>
      <c r="K362" s="37"/>
      <c r="L362" s="37"/>
      <c r="M362" s="37"/>
      <c r="N362" s="29"/>
      <c r="O362" s="37"/>
      <c r="P362" s="29"/>
      <c r="Q362" s="37"/>
      <c r="R362" s="37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</row>
    <row r="363" spans="2:30">
      <c r="B363" s="29"/>
      <c r="C363" s="29"/>
      <c r="D363" s="36"/>
      <c r="E363" s="37"/>
      <c r="F363" s="36"/>
      <c r="G363" s="37"/>
      <c r="H363" s="37"/>
      <c r="I363" s="37"/>
      <c r="J363" s="37"/>
      <c r="K363" s="37"/>
      <c r="L363" s="37"/>
      <c r="M363" s="37"/>
      <c r="N363" s="29"/>
      <c r="O363" s="37"/>
      <c r="P363" s="29"/>
      <c r="Q363" s="37"/>
      <c r="R363" s="37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</row>
    <row r="364" spans="2:30">
      <c r="B364" s="29"/>
      <c r="C364" s="29"/>
      <c r="D364" s="36"/>
      <c r="E364" s="37"/>
      <c r="F364" s="36"/>
      <c r="G364" s="37"/>
      <c r="H364" s="37"/>
      <c r="I364" s="37"/>
      <c r="J364" s="37"/>
      <c r="K364" s="37"/>
      <c r="L364" s="37"/>
      <c r="M364" s="37"/>
      <c r="N364" s="29"/>
      <c r="O364" s="37"/>
      <c r="P364" s="29"/>
      <c r="Q364" s="37"/>
      <c r="R364" s="37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</row>
    <row r="365" spans="2:30">
      <c r="B365" s="29"/>
      <c r="C365" s="29"/>
      <c r="D365" s="36"/>
      <c r="E365" s="37"/>
      <c r="F365" s="36"/>
      <c r="G365" s="37"/>
      <c r="H365" s="37"/>
      <c r="I365" s="37"/>
      <c r="J365" s="37"/>
      <c r="K365" s="37"/>
      <c r="L365" s="37"/>
      <c r="M365" s="37"/>
      <c r="N365" s="29"/>
      <c r="O365" s="37"/>
      <c r="P365" s="29"/>
      <c r="Q365" s="37"/>
      <c r="R365" s="37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</row>
    <row r="366" spans="2:30">
      <c r="B366" s="29"/>
      <c r="C366" s="29"/>
      <c r="D366" s="36"/>
      <c r="E366" s="37"/>
      <c r="F366" s="36"/>
      <c r="G366" s="37"/>
      <c r="H366" s="37"/>
      <c r="I366" s="37"/>
      <c r="J366" s="37"/>
      <c r="K366" s="37"/>
      <c r="L366" s="37"/>
      <c r="M366" s="37"/>
      <c r="N366" s="29"/>
      <c r="O366" s="37"/>
      <c r="P366" s="29"/>
      <c r="Q366" s="37"/>
      <c r="R366" s="37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</row>
    <row r="367" spans="2:30">
      <c r="B367" s="29"/>
      <c r="C367" s="29"/>
      <c r="D367" s="36"/>
      <c r="E367" s="37"/>
      <c r="F367" s="36"/>
      <c r="G367" s="37"/>
      <c r="H367" s="37"/>
      <c r="I367" s="37"/>
      <c r="J367" s="37"/>
      <c r="K367" s="37"/>
      <c r="L367" s="37"/>
      <c r="M367" s="37"/>
      <c r="N367" s="29"/>
      <c r="O367" s="37"/>
      <c r="P367" s="29"/>
      <c r="Q367" s="37"/>
      <c r="R367" s="37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</row>
    <row r="368" spans="2:30">
      <c r="B368" s="29"/>
      <c r="C368" s="29"/>
      <c r="D368" s="36"/>
      <c r="E368" s="37"/>
      <c r="F368" s="36"/>
      <c r="G368" s="37"/>
      <c r="H368" s="37"/>
      <c r="I368" s="37"/>
      <c r="J368" s="37"/>
      <c r="K368" s="37"/>
      <c r="L368" s="37"/>
      <c r="M368" s="37"/>
      <c r="N368" s="29"/>
      <c r="O368" s="37"/>
      <c r="P368" s="29"/>
      <c r="Q368" s="37"/>
      <c r="R368" s="37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</row>
    <row r="369" spans="2:30">
      <c r="B369" s="29"/>
      <c r="C369" s="29"/>
      <c r="D369" s="36"/>
      <c r="E369" s="37"/>
      <c r="F369" s="36"/>
      <c r="G369" s="37"/>
      <c r="H369" s="37"/>
      <c r="I369" s="37"/>
      <c r="J369" s="37"/>
      <c r="K369" s="37"/>
      <c r="L369" s="37"/>
      <c r="M369" s="37"/>
      <c r="N369" s="29"/>
      <c r="O369" s="37"/>
      <c r="P369" s="29"/>
      <c r="Q369" s="37"/>
      <c r="R369" s="37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</row>
    <row r="370" spans="2:30">
      <c r="B370" s="29"/>
      <c r="C370" s="29"/>
      <c r="D370" s="36"/>
      <c r="E370" s="37"/>
      <c r="F370" s="36"/>
      <c r="G370" s="37"/>
      <c r="H370" s="37"/>
      <c r="I370" s="37"/>
      <c r="J370" s="37"/>
      <c r="K370" s="37"/>
      <c r="L370" s="37"/>
      <c r="M370" s="37"/>
      <c r="N370" s="29"/>
      <c r="O370" s="37"/>
      <c r="P370" s="29"/>
      <c r="Q370" s="37"/>
      <c r="R370" s="37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</row>
    <row r="371" spans="2:30">
      <c r="B371" s="29"/>
      <c r="C371" s="29"/>
      <c r="D371" s="36"/>
      <c r="E371" s="37"/>
      <c r="F371" s="36"/>
      <c r="G371" s="37"/>
      <c r="H371" s="37"/>
      <c r="I371" s="37"/>
      <c r="J371" s="37"/>
      <c r="K371" s="37"/>
      <c r="L371" s="37"/>
      <c r="M371" s="37"/>
      <c r="N371" s="29"/>
      <c r="O371" s="37"/>
      <c r="P371" s="29"/>
      <c r="Q371" s="37"/>
      <c r="R371" s="37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</row>
    <row r="372" spans="2:30">
      <c r="B372" s="29"/>
      <c r="C372" s="29"/>
      <c r="D372" s="36"/>
      <c r="E372" s="37"/>
      <c r="F372" s="36"/>
      <c r="G372" s="37"/>
      <c r="H372" s="37"/>
      <c r="I372" s="37"/>
      <c r="J372" s="37"/>
      <c r="K372" s="37"/>
      <c r="L372" s="37"/>
      <c r="M372" s="37"/>
      <c r="N372" s="29"/>
      <c r="O372" s="37"/>
      <c r="P372" s="29"/>
      <c r="Q372" s="37"/>
      <c r="R372" s="37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</row>
    <row r="373" spans="2:30">
      <c r="B373" s="29"/>
      <c r="C373" s="29"/>
      <c r="D373" s="36"/>
      <c r="E373" s="37"/>
      <c r="F373" s="36"/>
      <c r="G373" s="37"/>
      <c r="H373" s="37"/>
      <c r="I373" s="37"/>
      <c r="J373" s="37"/>
      <c r="K373" s="37"/>
      <c r="L373" s="37"/>
      <c r="M373" s="37"/>
      <c r="N373" s="29"/>
      <c r="O373" s="37"/>
      <c r="P373" s="29"/>
      <c r="Q373" s="37"/>
      <c r="R373" s="37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</row>
    <row r="374" spans="2:30">
      <c r="B374" s="29"/>
      <c r="C374" s="29"/>
      <c r="D374" s="36"/>
      <c r="E374" s="37"/>
      <c r="F374" s="36"/>
      <c r="G374" s="37"/>
      <c r="H374" s="37"/>
      <c r="I374" s="37"/>
      <c r="J374" s="37"/>
      <c r="K374" s="37"/>
      <c r="L374" s="37"/>
      <c r="M374" s="37"/>
      <c r="N374" s="29"/>
      <c r="O374" s="37"/>
      <c r="P374" s="29"/>
      <c r="Q374" s="37"/>
      <c r="R374" s="37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</row>
    <row r="375" spans="2:30">
      <c r="B375" s="29"/>
      <c r="C375" s="29"/>
      <c r="D375" s="36"/>
      <c r="E375" s="37"/>
      <c r="F375" s="36"/>
      <c r="G375" s="37"/>
      <c r="H375" s="37"/>
      <c r="I375" s="37"/>
      <c r="J375" s="37"/>
      <c r="K375" s="37"/>
      <c r="L375" s="37"/>
      <c r="M375" s="37"/>
      <c r="N375" s="29"/>
      <c r="O375" s="37"/>
      <c r="P375" s="29"/>
      <c r="Q375" s="37"/>
      <c r="R375" s="37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</row>
    <row r="376" spans="2:30">
      <c r="B376" s="29"/>
      <c r="C376" s="29"/>
      <c r="D376" s="36"/>
      <c r="E376" s="37"/>
      <c r="F376" s="36"/>
      <c r="G376" s="37"/>
      <c r="H376" s="37"/>
      <c r="I376" s="37"/>
      <c r="J376" s="37"/>
      <c r="K376" s="37"/>
      <c r="L376" s="37"/>
      <c r="M376" s="37"/>
      <c r="N376" s="29"/>
      <c r="O376" s="37"/>
      <c r="P376" s="29"/>
      <c r="Q376" s="37"/>
      <c r="R376" s="37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</row>
    <row r="377" spans="2:30">
      <c r="B377" s="29"/>
      <c r="C377" s="29"/>
      <c r="D377" s="36"/>
      <c r="E377" s="37"/>
      <c r="F377" s="36"/>
      <c r="G377" s="37"/>
      <c r="H377" s="37"/>
      <c r="I377" s="37"/>
      <c r="J377" s="37"/>
      <c r="K377" s="37"/>
      <c r="L377" s="37"/>
      <c r="M377" s="37"/>
      <c r="N377" s="29"/>
      <c r="O377" s="37"/>
      <c r="P377" s="29"/>
      <c r="Q377" s="37"/>
      <c r="R377" s="37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</row>
    <row r="378" spans="2:30">
      <c r="B378" s="29"/>
      <c r="C378" s="29"/>
      <c r="D378" s="36"/>
      <c r="E378" s="37"/>
      <c r="F378" s="36"/>
      <c r="G378" s="37"/>
      <c r="H378" s="37"/>
      <c r="I378" s="37"/>
      <c r="J378" s="37"/>
      <c r="K378" s="37"/>
      <c r="L378" s="37"/>
      <c r="M378" s="37"/>
      <c r="N378" s="29"/>
      <c r="O378" s="37"/>
      <c r="P378" s="29"/>
      <c r="Q378" s="37"/>
      <c r="R378" s="37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</row>
    <row r="379" spans="2:30">
      <c r="B379" s="29"/>
      <c r="C379" s="29"/>
      <c r="D379" s="36"/>
      <c r="E379" s="37"/>
      <c r="F379" s="36"/>
      <c r="G379" s="37"/>
      <c r="H379" s="37"/>
      <c r="I379" s="37"/>
      <c r="J379" s="37"/>
      <c r="K379" s="37"/>
      <c r="L379" s="37"/>
      <c r="M379" s="37"/>
      <c r="N379" s="29"/>
      <c r="O379" s="37"/>
      <c r="P379" s="29"/>
      <c r="Q379" s="37"/>
      <c r="R379" s="37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</row>
    <row r="380" spans="2:30">
      <c r="B380" s="29"/>
      <c r="C380" s="29"/>
      <c r="D380" s="36"/>
      <c r="E380" s="37"/>
      <c r="F380" s="36"/>
      <c r="G380" s="37"/>
      <c r="H380" s="37"/>
      <c r="I380" s="37"/>
      <c r="J380" s="37"/>
      <c r="K380" s="37"/>
      <c r="L380" s="37"/>
      <c r="M380" s="37"/>
      <c r="N380" s="29"/>
      <c r="O380" s="37"/>
      <c r="P380" s="29"/>
      <c r="Q380" s="37"/>
      <c r="R380" s="37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</row>
    <row r="381" spans="2:30">
      <c r="B381" s="29"/>
      <c r="C381" s="29"/>
      <c r="D381" s="36"/>
      <c r="E381" s="37"/>
      <c r="F381" s="36"/>
      <c r="G381" s="37"/>
      <c r="H381" s="37"/>
      <c r="I381" s="37"/>
      <c r="J381" s="37"/>
      <c r="K381" s="37"/>
      <c r="L381" s="37"/>
      <c r="M381" s="37"/>
      <c r="N381" s="29"/>
      <c r="O381" s="37"/>
      <c r="P381" s="29"/>
      <c r="Q381" s="37"/>
      <c r="R381" s="37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</row>
    <row r="382" spans="2:30">
      <c r="B382" s="29"/>
      <c r="C382" s="29"/>
      <c r="D382" s="36"/>
      <c r="E382" s="37"/>
      <c r="F382" s="36"/>
      <c r="G382" s="37"/>
      <c r="H382" s="37"/>
      <c r="I382" s="37"/>
      <c r="J382" s="37"/>
      <c r="K382" s="37"/>
      <c r="L382" s="37"/>
      <c r="M382" s="37"/>
      <c r="N382" s="29"/>
      <c r="O382" s="37"/>
      <c r="P382" s="29"/>
      <c r="Q382" s="37"/>
      <c r="R382" s="37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</row>
    <row r="383" spans="2:30">
      <c r="B383" s="29"/>
      <c r="C383" s="29"/>
      <c r="D383" s="36"/>
      <c r="E383" s="37"/>
      <c r="F383" s="36"/>
      <c r="G383" s="37"/>
      <c r="H383" s="37"/>
      <c r="I383" s="37"/>
      <c r="J383" s="37"/>
      <c r="K383" s="37"/>
      <c r="L383" s="37"/>
      <c r="M383" s="37"/>
      <c r="N383" s="29"/>
      <c r="O383" s="37"/>
      <c r="P383" s="29"/>
      <c r="Q383" s="37"/>
      <c r="R383" s="37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</row>
    <row r="384" spans="2:30">
      <c r="B384" s="29"/>
      <c r="C384" s="29"/>
      <c r="D384" s="36"/>
      <c r="E384" s="37"/>
      <c r="F384" s="36"/>
      <c r="G384" s="37"/>
      <c r="H384" s="37"/>
      <c r="I384" s="37"/>
      <c r="J384" s="37"/>
      <c r="K384" s="37"/>
      <c r="L384" s="37"/>
      <c r="M384" s="37"/>
      <c r="N384" s="29"/>
      <c r="O384" s="37"/>
      <c r="P384" s="29"/>
      <c r="Q384" s="37"/>
      <c r="R384" s="37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</row>
    <row r="385" spans="2:30">
      <c r="B385" s="29"/>
      <c r="C385" s="29"/>
      <c r="D385" s="36"/>
      <c r="E385" s="37"/>
      <c r="F385" s="36"/>
      <c r="G385" s="37"/>
      <c r="H385" s="37"/>
      <c r="I385" s="37"/>
      <c r="J385" s="37"/>
      <c r="K385" s="37"/>
      <c r="L385" s="37"/>
      <c r="M385" s="37"/>
      <c r="N385" s="29"/>
      <c r="O385" s="37"/>
      <c r="P385" s="29"/>
      <c r="Q385" s="37"/>
      <c r="R385" s="37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</row>
    <row r="386" spans="2:30">
      <c r="B386" s="29"/>
      <c r="C386" s="29"/>
      <c r="D386" s="36"/>
      <c r="E386" s="37"/>
      <c r="F386" s="36"/>
      <c r="G386" s="37"/>
      <c r="H386" s="37"/>
      <c r="I386" s="37"/>
      <c r="J386" s="37"/>
      <c r="K386" s="37"/>
      <c r="L386" s="37"/>
      <c r="M386" s="37"/>
      <c r="N386" s="29"/>
      <c r="O386" s="37"/>
      <c r="P386" s="29"/>
      <c r="Q386" s="37"/>
      <c r="R386" s="37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</row>
    <row r="387" spans="2:30">
      <c r="B387" s="29"/>
      <c r="C387" s="29"/>
      <c r="D387" s="36"/>
      <c r="E387" s="37"/>
      <c r="F387" s="36"/>
      <c r="G387" s="37"/>
      <c r="H387" s="37"/>
      <c r="I387" s="37"/>
      <c r="J387" s="37"/>
      <c r="K387" s="37"/>
      <c r="L387" s="37"/>
      <c r="M387" s="37"/>
      <c r="N387" s="29"/>
      <c r="O387" s="37"/>
      <c r="P387" s="29"/>
      <c r="Q387" s="37"/>
      <c r="R387" s="37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</row>
    <row r="388" spans="2:30">
      <c r="B388" s="29"/>
      <c r="C388" s="29"/>
      <c r="D388" s="36"/>
      <c r="E388" s="37"/>
      <c r="F388" s="36"/>
      <c r="G388" s="37"/>
      <c r="H388" s="37"/>
      <c r="I388" s="37"/>
      <c r="J388" s="37"/>
      <c r="K388" s="37"/>
      <c r="L388" s="37"/>
      <c r="M388" s="37"/>
      <c r="N388" s="29"/>
      <c r="O388" s="37"/>
      <c r="P388" s="29"/>
      <c r="Q388" s="37"/>
      <c r="R388" s="37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</row>
    <row r="389" spans="2:30">
      <c r="B389" s="29"/>
      <c r="C389" s="29"/>
      <c r="D389" s="36"/>
      <c r="E389" s="37"/>
      <c r="F389" s="36"/>
      <c r="G389" s="37"/>
      <c r="H389" s="37"/>
      <c r="I389" s="37"/>
      <c r="J389" s="37"/>
      <c r="K389" s="37"/>
      <c r="L389" s="37"/>
      <c r="M389" s="37"/>
      <c r="N389" s="29"/>
      <c r="O389" s="37"/>
      <c r="P389" s="29"/>
      <c r="Q389" s="37"/>
      <c r="R389" s="37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</row>
    <row r="390" spans="2:30">
      <c r="B390" s="29"/>
      <c r="C390" s="29"/>
      <c r="D390" s="36"/>
      <c r="E390" s="37"/>
      <c r="F390" s="36"/>
      <c r="G390" s="37"/>
      <c r="H390" s="37"/>
      <c r="I390" s="37"/>
      <c r="J390" s="37"/>
      <c r="K390" s="37"/>
      <c r="L390" s="37"/>
      <c r="M390" s="37"/>
      <c r="N390" s="29"/>
      <c r="O390" s="37"/>
      <c r="P390" s="29"/>
      <c r="Q390" s="37"/>
      <c r="R390" s="37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</row>
    <row r="391" spans="2:30">
      <c r="B391" s="29"/>
      <c r="C391" s="29"/>
      <c r="D391" s="36"/>
      <c r="E391" s="37"/>
      <c r="F391" s="36"/>
      <c r="G391" s="37"/>
      <c r="H391" s="37"/>
      <c r="I391" s="37"/>
      <c r="J391" s="37"/>
      <c r="K391" s="37"/>
      <c r="L391" s="37"/>
      <c r="M391" s="37"/>
      <c r="N391" s="29"/>
      <c r="O391" s="37"/>
      <c r="P391" s="29"/>
      <c r="Q391" s="37"/>
      <c r="R391" s="37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</row>
    <row r="392" spans="2:30">
      <c r="B392" s="29"/>
      <c r="C392" s="29"/>
      <c r="D392" s="36"/>
      <c r="E392" s="37"/>
      <c r="F392" s="36"/>
      <c r="G392" s="37"/>
      <c r="H392" s="37"/>
      <c r="I392" s="37"/>
      <c r="J392" s="37"/>
      <c r="K392" s="37"/>
      <c r="L392" s="37"/>
      <c r="M392" s="37"/>
      <c r="N392" s="29"/>
      <c r="O392" s="37"/>
      <c r="P392" s="29"/>
      <c r="Q392" s="37"/>
      <c r="R392" s="37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</row>
    <row r="393" spans="2:30">
      <c r="B393" s="29"/>
      <c r="C393" s="29"/>
      <c r="D393" s="36"/>
      <c r="E393" s="37"/>
      <c r="F393" s="36"/>
      <c r="G393" s="37"/>
      <c r="H393" s="37"/>
      <c r="I393" s="37"/>
      <c r="J393" s="37"/>
      <c r="K393" s="37"/>
      <c r="L393" s="37"/>
      <c r="M393" s="37"/>
      <c r="N393" s="29"/>
      <c r="O393" s="37"/>
      <c r="P393" s="29"/>
      <c r="Q393" s="37"/>
      <c r="R393" s="37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</row>
    <row r="394" spans="2:30">
      <c r="B394" s="29"/>
      <c r="C394" s="29"/>
      <c r="D394" s="36"/>
      <c r="E394" s="37"/>
      <c r="F394" s="36"/>
      <c r="G394" s="37"/>
      <c r="H394" s="37"/>
      <c r="I394" s="37"/>
      <c r="J394" s="37"/>
      <c r="K394" s="37"/>
      <c r="L394" s="37"/>
      <c r="M394" s="37"/>
      <c r="N394" s="29"/>
      <c r="O394" s="37"/>
      <c r="P394" s="29"/>
      <c r="Q394" s="37"/>
      <c r="R394" s="37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</row>
    <row r="395" spans="2:30">
      <c r="B395" s="29"/>
      <c r="C395" s="29"/>
      <c r="D395" s="36"/>
      <c r="E395" s="37"/>
      <c r="F395" s="36"/>
      <c r="G395" s="37"/>
      <c r="H395" s="37"/>
      <c r="I395" s="37"/>
      <c r="J395" s="37"/>
      <c r="K395" s="37"/>
      <c r="L395" s="37"/>
      <c r="M395" s="37"/>
      <c r="N395" s="29"/>
      <c r="O395" s="37"/>
      <c r="P395" s="29"/>
      <c r="Q395" s="37"/>
      <c r="R395" s="37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</row>
    <row r="396" spans="2:30">
      <c r="B396" s="29"/>
      <c r="C396" s="29"/>
      <c r="D396" s="36"/>
      <c r="E396" s="37"/>
      <c r="F396" s="36"/>
      <c r="G396" s="37"/>
      <c r="H396" s="37"/>
      <c r="I396" s="37"/>
      <c r="J396" s="37"/>
      <c r="K396" s="37"/>
      <c r="L396" s="37"/>
      <c r="M396" s="37"/>
      <c r="N396" s="29"/>
      <c r="O396" s="37"/>
      <c r="P396" s="29"/>
      <c r="Q396" s="37"/>
      <c r="R396" s="37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</row>
    <row r="397" spans="2:30">
      <c r="B397" s="29"/>
      <c r="C397" s="29"/>
      <c r="D397" s="36"/>
      <c r="E397" s="37"/>
      <c r="F397" s="36"/>
      <c r="G397" s="37"/>
      <c r="H397" s="37"/>
      <c r="I397" s="37"/>
      <c r="J397" s="37"/>
      <c r="K397" s="37"/>
      <c r="L397" s="37"/>
      <c r="M397" s="37"/>
      <c r="N397" s="29"/>
      <c r="O397" s="37"/>
      <c r="P397" s="29"/>
      <c r="Q397" s="37"/>
      <c r="R397" s="37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</row>
    <row r="398" spans="2:30">
      <c r="B398" s="29"/>
      <c r="C398" s="29"/>
      <c r="D398" s="36"/>
      <c r="E398" s="37"/>
      <c r="F398" s="36"/>
      <c r="G398" s="37"/>
      <c r="H398" s="37"/>
      <c r="I398" s="37"/>
      <c r="J398" s="37"/>
      <c r="K398" s="37"/>
      <c r="L398" s="37"/>
      <c r="M398" s="37"/>
      <c r="N398" s="29"/>
      <c r="O398" s="37"/>
      <c r="P398" s="29"/>
      <c r="Q398" s="37"/>
      <c r="R398" s="37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</row>
    <row r="399" spans="2:30">
      <c r="B399" s="29"/>
      <c r="C399" s="29"/>
      <c r="D399" s="36"/>
      <c r="E399" s="37"/>
      <c r="F399" s="36"/>
      <c r="G399" s="37"/>
      <c r="H399" s="37"/>
      <c r="I399" s="37"/>
      <c r="J399" s="37"/>
      <c r="K399" s="37"/>
      <c r="L399" s="37"/>
      <c r="M399" s="37"/>
      <c r="N399" s="29"/>
      <c r="O399" s="37"/>
      <c r="P399" s="29"/>
      <c r="Q399" s="37"/>
      <c r="R399" s="37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</row>
    <row r="400" spans="2:30">
      <c r="B400" s="29"/>
      <c r="C400" s="29"/>
      <c r="D400" s="36"/>
      <c r="E400" s="37"/>
      <c r="F400" s="36"/>
      <c r="G400" s="37"/>
      <c r="H400" s="37"/>
      <c r="I400" s="37"/>
      <c r="J400" s="37"/>
      <c r="K400" s="37"/>
      <c r="L400" s="37"/>
      <c r="M400" s="37"/>
      <c r="N400" s="29"/>
      <c r="O400" s="37"/>
      <c r="P400" s="29"/>
      <c r="Q400" s="37"/>
      <c r="R400" s="37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</row>
    <row r="401" spans="2:30">
      <c r="B401" s="29"/>
      <c r="C401" s="29"/>
      <c r="D401" s="36"/>
      <c r="E401" s="37"/>
      <c r="F401" s="36"/>
      <c r="G401" s="37"/>
      <c r="H401" s="37"/>
      <c r="I401" s="37"/>
      <c r="J401" s="37"/>
      <c r="K401" s="37"/>
      <c r="L401" s="37"/>
      <c r="M401" s="37"/>
      <c r="N401" s="29"/>
      <c r="O401" s="37"/>
      <c r="P401" s="29"/>
      <c r="Q401" s="37"/>
      <c r="R401" s="37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</row>
    <row r="402" spans="2:30">
      <c r="B402" s="29"/>
      <c r="C402" s="29"/>
      <c r="D402" s="36"/>
      <c r="E402" s="37"/>
      <c r="F402" s="36"/>
      <c r="G402" s="37"/>
      <c r="H402" s="37"/>
      <c r="I402" s="37"/>
      <c r="J402" s="37"/>
      <c r="K402" s="37"/>
      <c r="L402" s="37"/>
      <c r="M402" s="37"/>
      <c r="N402" s="29"/>
      <c r="O402" s="37"/>
      <c r="P402" s="29"/>
      <c r="Q402" s="37"/>
      <c r="R402" s="37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</row>
    <row r="403" spans="2:30">
      <c r="B403" s="29"/>
      <c r="C403" s="29"/>
      <c r="D403" s="36"/>
      <c r="E403" s="37"/>
      <c r="F403" s="36"/>
      <c r="G403" s="37"/>
      <c r="H403" s="37"/>
      <c r="I403" s="37"/>
      <c r="J403" s="37"/>
      <c r="K403" s="37"/>
      <c r="L403" s="37"/>
      <c r="M403" s="37"/>
      <c r="N403" s="29"/>
      <c r="O403" s="37"/>
      <c r="P403" s="29"/>
      <c r="Q403" s="37"/>
      <c r="R403" s="37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</row>
    <row r="404" spans="2:30">
      <c r="B404" s="29"/>
      <c r="C404" s="29"/>
      <c r="D404" s="36"/>
      <c r="E404" s="37"/>
      <c r="F404" s="36"/>
      <c r="G404" s="37"/>
      <c r="H404" s="37"/>
      <c r="I404" s="37"/>
      <c r="J404" s="37"/>
      <c r="K404" s="37"/>
      <c r="L404" s="37"/>
      <c r="M404" s="37"/>
      <c r="N404" s="29"/>
      <c r="O404" s="37"/>
      <c r="P404" s="29"/>
      <c r="Q404" s="37"/>
      <c r="R404" s="37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</row>
    <row r="405" spans="2:30">
      <c r="B405" s="29"/>
      <c r="C405" s="29"/>
      <c r="D405" s="36"/>
      <c r="E405" s="37"/>
      <c r="F405" s="36"/>
      <c r="G405" s="37"/>
      <c r="H405" s="37"/>
      <c r="I405" s="37"/>
      <c r="J405" s="37"/>
      <c r="K405" s="37"/>
      <c r="L405" s="37"/>
      <c r="M405" s="37"/>
      <c r="N405" s="29"/>
      <c r="O405" s="37"/>
      <c r="P405" s="29"/>
      <c r="Q405" s="37"/>
      <c r="R405" s="37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</row>
    <row r="406" spans="2:30">
      <c r="B406" s="29"/>
      <c r="C406" s="29"/>
      <c r="D406" s="36"/>
      <c r="E406" s="37"/>
      <c r="F406" s="36"/>
      <c r="G406" s="37"/>
      <c r="H406" s="37"/>
      <c r="I406" s="37"/>
      <c r="J406" s="37"/>
      <c r="K406" s="37"/>
      <c r="L406" s="37"/>
      <c r="M406" s="37"/>
      <c r="N406" s="29"/>
      <c r="O406" s="37"/>
      <c r="P406" s="29"/>
      <c r="Q406" s="37"/>
      <c r="R406" s="37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</row>
    <row r="407" spans="2:30">
      <c r="B407" s="29"/>
      <c r="C407" s="29"/>
      <c r="D407" s="36"/>
      <c r="E407" s="37"/>
      <c r="F407" s="36"/>
      <c r="G407" s="37"/>
      <c r="H407" s="37"/>
      <c r="I407" s="37"/>
      <c r="J407" s="37"/>
      <c r="K407" s="37"/>
      <c r="L407" s="37"/>
      <c r="M407" s="37"/>
      <c r="N407" s="29"/>
      <c r="O407" s="37"/>
      <c r="P407" s="29"/>
      <c r="Q407" s="37"/>
      <c r="R407" s="37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</row>
    <row r="408" spans="2:30">
      <c r="B408" s="29"/>
      <c r="C408" s="29"/>
      <c r="D408" s="36"/>
      <c r="E408" s="37"/>
      <c r="F408" s="36"/>
      <c r="G408" s="37"/>
      <c r="H408" s="37"/>
      <c r="I408" s="37"/>
      <c r="J408" s="37"/>
      <c r="K408" s="37"/>
      <c r="L408" s="37"/>
      <c r="M408" s="37"/>
      <c r="N408" s="29"/>
      <c r="O408" s="37"/>
      <c r="P408" s="29"/>
      <c r="Q408" s="37"/>
      <c r="R408" s="37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</row>
    <row r="409" spans="2:30">
      <c r="B409" s="29"/>
      <c r="C409" s="29"/>
      <c r="D409" s="36"/>
      <c r="E409" s="37"/>
      <c r="F409" s="36"/>
      <c r="G409" s="37"/>
      <c r="H409" s="37"/>
      <c r="I409" s="37"/>
      <c r="J409" s="37"/>
      <c r="K409" s="37"/>
      <c r="L409" s="37"/>
      <c r="M409" s="37"/>
      <c r="N409" s="29"/>
      <c r="O409" s="37"/>
      <c r="P409" s="29"/>
      <c r="Q409" s="37"/>
      <c r="R409" s="37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</row>
    <row r="410" spans="2:30">
      <c r="B410" s="29"/>
      <c r="C410" s="29"/>
      <c r="D410" s="36"/>
      <c r="E410" s="37"/>
      <c r="F410" s="36"/>
      <c r="G410" s="37"/>
      <c r="H410" s="37"/>
      <c r="I410" s="37"/>
      <c r="J410" s="37"/>
      <c r="K410" s="37"/>
      <c r="L410" s="37"/>
      <c r="M410" s="37"/>
      <c r="N410" s="29"/>
      <c r="O410" s="37"/>
      <c r="P410" s="29"/>
      <c r="Q410" s="37"/>
      <c r="R410" s="37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</row>
    <row r="411" spans="2:30">
      <c r="B411" s="29"/>
      <c r="C411" s="29"/>
      <c r="D411" s="36"/>
      <c r="E411" s="37"/>
      <c r="F411" s="36"/>
      <c r="G411" s="37"/>
      <c r="H411" s="37"/>
      <c r="I411" s="37"/>
      <c r="J411" s="37"/>
      <c r="K411" s="37"/>
      <c r="L411" s="37"/>
      <c r="M411" s="37"/>
      <c r="N411" s="29"/>
      <c r="O411" s="37"/>
      <c r="P411" s="29"/>
      <c r="Q411" s="37"/>
      <c r="R411" s="37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</row>
    <row r="412" spans="2:30">
      <c r="B412" s="29"/>
      <c r="C412" s="29"/>
      <c r="D412" s="36"/>
      <c r="E412" s="37"/>
      <c r="F412" s="36"/>
      <c r="G412" s="37"/>
      <c r="H412" s="37"/>
      <c r="I412" s="37"/>
      <c r="J412" s="37"/>
      <c r="K412" s="37"/>
      <c r="L412" s="37"/>
      <c r="M412" s="37"/>
      <c r="N412" s="29"/>
      <c r="O412" s="37"/>
      <c r="P412" s="29"/>
      <c r="Q412" s="37"/>
      <c r="R412" s="37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</row>
    <row r="413" spans="2:30">
      <c r="B413" s="29"/>
      <c r="C413" s="29"/>
      <c r="D413" s="36"/>
      <c r="E413" s="37"/>
      <c r="F413" s="36"/>
      <c r="G413" s="37"/>
      <c r="H413" s="37"/>
      <c r="I413" s="37"/>
      <c r="J413" s="37"/>
      <c r="K413" s="37"/>
      <c r="L413" s="37"/>
      <c r="M413" s="37"/>
      <c r="N413" s="29"/>
      <c r="O413" s="37"/>
      <c r="P413" s="29"/>
      <c r="Q413" s="37"/>
      <c r="R413" s="37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</row>
    <row r="414" spans="2:30">
      <c r="B414" s="29"/>
      <c r="C414" s="29"/>
      <c r="D414" s="36"/>
      <c r="E414" s="37"/>
      <c r="F414" s="36"/>
      <c r="G414" s="37"/>
      <c r="H414" s="37"/>
      <c r="I414" s="37"/>
      <c r="J414" s="37"/>
      <c r="K414" s="37"/>
      <c r="L414" s="37"/>
      <c r="M414" s="37"/>
      <c r="N414" s="29"/>
      <c r="O414" s="37"/>
      <c r="P414" s="29"/>
      <c r="Q414" s="37"/>
      <c r="R414" s="37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</row>
    <row r="415" spans="2:30">
      <c r="B415" s="29"/>
      <c r="C415" s="29"/>
      <c r="D415" s="36"/>
      <c r="E415" s="37"/>
      <c r="F415" s="36"/>
      <c r="G415" s="37"/>
      <c r="H415" s="37"/>
      <c r="I415" s="37"/>
      <c r="J415" s="37"/>
      <c r="K415" s="37"/>
      <c r="L415" s="37"/>
      <c r="M415" s="37"/>
      <c r="N415" s="29"/>
      <c r="O415" s="37"/>
      <c r="P415" s="29"/>
      <c r="Q415" s="37"/>
      <c r="R415" s="37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</row>
    <row r="416" spans="2:30">
      <c r="B416" s="29"/>
      <c r="C416" s="29"/>
      <c r="D416" s="36"/>
      <c r="E416" s="37"/>
      <c r="F416" s="36"/>
      <c r="G416" s="37"/>
      <c r="H416" s="37"/>
      <c r="I416" s="37"/>
      <c r="J416" s="37"/>
      <c r="K416" s="37"/>
      <c r="L416" s="37"/>
      <c r="M416" s="37"/>
      <c r="N416" s="29"/>
      <c r="O416" s="37"/>
      <c r="P416" s="29"/>
      <c r="Q416" s="37"/>
      <c r="R416" s="37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</row>
    <row r="417" spans="2:30">
      <c r="B417" s="29"/>
      <c r="C417" s="29"/>
      <c r="D417" s="36"/>
      <c r="E417" s="37"/>
      <c r="F417" s="36"/>
      <c r="G417" s="37"/>
      <c r="H417" s="37"/>
      <c r="I417" s="37"/>
      <c r="J417" s="37"/>
      <c r="K417" s="37"/>
      <c r="L417" s="37"/>
      <c r="M417" s="37"/>
      <c r="N417" s="29"/>
      <c r="O417" s="37"/>
      <c r="P417" s="29"/>
      <c r="Q417" s="37"/>
      <c r="R417" s="37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</row>
    <row r="418" spans="2:30">
      <c r="B418" s="29"/>
      <c r="C418" s="29"/>
      <c r="D418" s="36"/>
      <c r="E418" s="37"/>
      <c r="F418" s="36"/>
      <c r="G418" s="37"/>
      <c r="H418" s="37"/>
      <c r="I418" s="37"/>
      <c r="J418" s="37"/>
      <c r="K418" s="37"/>
      <c r="L418" s="37"/>
      <c r="M418" s="37"/>
      <c r="N418" s="29"/>
      <c r="O418" s="37"/>
      <c r="P418" s="29"/>
      <c r="Q418" s="37"/>
      <c r="R418" s="37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</row>
    <row r="419" spans="2:30">
      <c r="B419" s="29"/>
      <c r="C419" s="29"/>
      <c r="D419" s="36"/>
      <c r="E419" s="37"/>
      <c r="F419" s="36"/>
      <c r="G419" s="37"/>
      <c r="H419" s="37"/>
      <c r="I419" s="37"/>
      <c r="J419" s="37"/>
      <c r="K419" s="37"/>
      <c r="L419" s="37"/>
      <c r="M419" s="37"/>
      <c r="N419" s="29"/>
      <c r="O419" s="37"/>
      <c r="P419" s="29"/>
      <c r="Q419" s="37"/>
      <c r="R419" s="37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</row>
    <row r="420" spans="2:30">
      <c r="B420" s="29"/>
      <c r="C420" s="29"/>
      <c r="D420" s="36"/>
      <c r="E420" s="37"/>
      <c r="F420" s="36"/>
      <c r="G420" s="37"/>
      <c r="H420" s="37"/>
      <c r="I420" s="37"/>
      <c r="J420" s="37"/>
      <c r="K420" s="37"/>
      <c r="L420" s="37"/>
      <c r="M420" s="37"/>
      <c r="N420" s="29"/>
      <c r="O420" s="37"/>
      <c r="P420" s="29"/>
      <c r="Q420" s="37"/>
      <c r="R420" s="37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</row>
    <row r="421" spans="2:30">
      <c r="B421" s="29"/>
      <c r="C421" s="29"/>
      <c r="D421" s="36"/>
      <c r="E421" s="37"/>
      <c r="F421" s="36"/>
      <c r="G421" s="37"/>
      <c r="H421" s="37"/>
      <c r="I421" s="37"/>
      <c r="J421" s="37"/>
      <c r="K421" s="37"/>
      <c r="L421" s="37"/>
      <c r="M421" s="37"/>
      <c r="N421" s="29"/>
      <c r="O421" s="37"/>
      <c r="P421" s="29"/>
      <c r="Q421" s="37"/>
      <c r="R421" s="37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</row>
    <row r="422" spans="2:30">
      <c r="B422" s="29"/>
      <c r="C422" s="29"/>
      <c r="D422" s="36"/>
      <c r="E422" s="37"/>
      <c r="F422" s="36"/>
      <c r="G422" s="37"/>
      <c r="H422" s="37"/>
      <c r="I422" s="37"/>
      <c r="J422" s="37"/>
      <c r="K422" s="37"/>
      <c r="L422" s="37"/>
      <c r="M422" s="37"/>
      <c r="N422" s="29"/>
      <c r="O422" s="37"/>
      <c r="P422" s="29"/>
      <c r="Q422" s="37"/>
      <c r="R422" s="37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</row>
    <row r="423" spans="2:30">
      <c r="B423" s="29"/>
      <c r="C423" s="29"/>
      <c r="D423" s="36"/>
      <c r="E423" s="37"/>
      <c r="F423" s="36"/>
      <c r="G423" s="37"/>
      <c r="H423" s="37"/>
      <c r="I423" s="37"/>
      <c r="J423" s="37"/>
      <c r="K423" s="37"/>
      <c r="L423" s="37"/>
      <c r="M423" s="37"/>
      <c r="N423" s="29"/>
      <c r="O423" s="37"/>
      <c r="P423" s="29"/>
      <c r="Q423" s="37"/>
      <c r="R423" s="37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</row>
    <row r="424" spans="2:30">
      <c r="B424" s="29"/>
      <c r="C424" s="29"/>
      <c r="D424" s="36"/>
      <c r="E424" s="37"/>
      <c r="F424" s="36"/>
      <c r="G424" s="37"/>
      <c r="H424" s="37"/>
      <c r="I424" s="37"/>
      <c r="J424" s="37"/>
      <c r="K424" s="37"/>
      <c r="L424" s="37"/>
      <c r="M424" s="37"/>
      <c r="N424" s="29"/>
      <c r="O424" s="37"/>
      <c r="P424" s="29"/>
      <c r="Q424" s="37"/>
      <c r="R424" s="37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</row>
    <row r="425" spans="2:30">
      <c r="B425" s="29"/>
      <c r="C425" s="29"/>
      <c r="D425" s="36"/>
      <c r="E425" s="37"/>
      <c r="F425" s="36"/>
      <c r="G425" s="37"/>
      <c r="H425" s="37"/>
      <c r="I425" s="37"/>
      <c r="J425" s="37"/>
      <c r="K425" s="37"/>
      <c r="L425" s="37"/>
      <c r="M425" s="37"/>
      <c r="N425" s="29"/>
      <c r="O425" s="37"/>
      <c r="P425" s="29"/>
      <c r="Q425" s="37"/>
      <c r="R425" s="37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</row>
    <row r="426" spans="2:30">
      <c r="B426" s="29"/>
      <c r="C426" s="29"/>
      <c r="D426" s="36"/>
      <c r="E426" s="37"/>
      <c r="F426" s="36"/>
      <c r="G426" s="37"/>
      <c r="H426" s="37"/>
      <c r="I426" s="37"/>
      <c r="J426" s="37"/>
      <c r="K426" s="37"/>
      <c r="L426" s="37"/>
      <c r="M426" s="37"/>
      <c r="N426" s="29"/>
      <c r="O426" s="37"/>
      <c r="P426" s="29"/>
      <c r="Q426" s="37"/>
      <c r="R426" s="37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</row>
    <row r="427" spans="2:30">
      <c r="B427" s="29"/>
      <c r="C427" s="29"/>
      <c r="D427" s="36"/>
      <c r="E427" s="37"/>
      <c r="F427" s="36"/>
      <c r="G427" s="37"/>
      <c r="H427" s="37"/>
      <c r="I427" s="37"/>
      <c r="J427" s="37"/>
      <c r="K427" s="37"/>
      <c r="L427" s="37"/>
      <c r="M427" s="37"/>
      <c r="N427" s="29"/>
      <c r="O427" s="37"/>
      <c r="P427" s="29"/>
      <c r="Q427" s="37"/>
      <c r="R427" s="37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</row>
    <row r="428" spans="2:30">
      <c r="B428" s="29"/>
      <c r="C428" s="29"/>
      <c r="D428" s="36"/>
      <c r="E428" s="37"/>
      <c r="F428" s="36"/>
      <c r="G428" s="37"/>
      <c r="H428" s="37"/>
      <c r="I428" s="37"/>
      <c r="J428" s="37"/>
      <c r="K428" s="37"/>
      <c r="L428" s="37"/>
      <c r="M428" s="37"/>
      <c r="N428" s="29"/>
      <c r="O428" s="37"/>
      <c r="P428" s="29"/>
      <c r="Q428" s="37"/>
      <c r="R428" s="37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</row>
    <row r="429" spans="2:30">
      <c r="B429" s="29"/>
      <c r="C429" s="29"/>
      <c r="D429" s="36"/>
      <c r="E429" s="37"/>
      <c r="F429" s="36"/>
      <c r="G429" s="37"/>
      <c r="H429" s="37"/>
      <c r="I429" s="37"/>
      <c r="J429" s="37"/>
      <c r="K429" s="37"/>
      <c r="L429" s="37"/>
      <c r="M429" s="37"/>
      <c r="N429" s="29"/>
      <c r="O429" s="37"/>
      <c r="P429" s="29"/>
      <c r="Q429" s="37"/>
      <c r="R429" s="37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</row>
    <row r="430" spans="2:30">
      <c r="B430" s="29"/>
      <c r="C430" s="29"/>
      <c r="D430" s="36"/>
      <c r="E430" s="37"/>
      <c r="F430" s="36"/>
      <c r="G430" s="37"/>
      <c r="H430" s="37"/>
      <c r="I430" s="37"/>
      <c r="J430" s="37"/>
      <c r="K430" s="37"/>
      <c r="L430" s="37"/>
      <c r="M430" s="37"/>
      <c r="N430" s="29"/>
      <c r="O430" s="37"/>
      <c r="P430" s="29"/>
      <c r="Q430" s="37"/>
      <c r="R430" s="37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</row>
    <row r="431" spans="2:30">
      <c r="B431" s="29"/>
      <c r="C431" s="29"/>
      <c r="D431" s="36"/>
      <c r="E431" s="37"/>
      <c r="F431" s="36"/>
      <c r="G431" s="37"/>
      <c r="H431" s="37"/>
      <c r="I431" s="37"/>
      <c r="J431" s="37"/>
      <c r="K431" s="37"/>
      <c r="L431" s="37"/>
      <c r="M431" s="37"/>
      <c r="N431" s="29"/>
      <c r="O431" s="37"/>
      <c r="P431" s="29"/>
      <c r="Q431" s="37"/>
      <c r="R431" s="37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</row>
    <row r="432" spans="2:30">
      <c r="B432" s="29"/>
      <c r="C432" s="29"/>
      <c r="D432" s="36"/>
      <c r="E432" s="37"/>
      <c r="F432" s="36"/>
      <c r="G432" s="37"/>
      <c r="H432" s="37"/>
      <c r="I432" s="37"/>
      <c r="J432" s="37"/>
      <c r="K432" s="37"/>
      <c r="L432" s="37"/>
      <c r="M432" s="37"/>
      <c r="N432" s="29"/>
      <c r="O432" s="37"/>
      <c r="P432" s="29"/>
      <c r="Q432" s="37"/>
      <c r="R432" s="37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</row>
    <row r="433" spans="2:30">
      <c r="B433" s="29"/>
      <c r="C433" s="29"/>
      <c r="D433" s="36"/>
      <c r="E433" s="37"/>
      <c r="F433" s="36"/>
      <c r="G433" s="37"/>
      <c r="H433" s="37"/>
      <c r="I433" s="37"/>
      <c r="J433" s="37"/>
      <c r="K433" s="37"/>
      <c r="L433" s="37"/>
      <c r="M433" s="37"/>
      <c r="N433" s="29"/>
      <c r="O433" s="37"/>
      <c r="P433" s="29"/>
      <c r="Q433" s="37"/>
      <c r="R433" s="37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</row>
    <row r="434" spans="2:30">
      <c r="B434" s="29"/>
      <c r="C434" s="29"/>
      <c r="D434" s="36"/>
      <c r="E434" s="37"/>
      <c r="F434" s="36"/>
      <c r="G434" s="37"/>
      <c r="H434" s="37"/>
      <c r="I434" s="37"/>
      <c r="J434" s="37"/>
      <c r="K434" s="37"/>
      <c r="L434" s="37"/>
      <c r="M434" s="37"/>
      <c r="N434" s="29"/>
      <c r="O434" s="37"/>
      <c r="P434" s="29"/>
      <c r="Q434" s="37"/>
      <c r="R434" s="37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</row>
    <row r="435" spans="2:30">
      <c r="B435" s="29"/>
      <c r="C435" s="29"/>
      <c r="D435" s="36"/>
      <c r="E435" s="37"/>
      <c r="F435" s="36"/>
      <c r="G435" s="37"/>
      <c r="H435" s="37"/>
      <c r="I435" s="37"/>
      <c r="J435" s="37"/>
      <c r="K435" s="37"/>
      <c r="L435" s="37"/>
      <c r="M435" s="37"/>
      <c r="N435" s="29"/>
      <c r="O435" s="37"/>
      <c r="P435" s="29"/>
      <c r="Q435" s="37"/>
      <c r="R435" s="37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</row>
    <row r="436" spans="2:30">
      <c r="B436" s="29"/>
      <c r="C436" s="29"/>
      <c r="D436" s="36"/>
      <c r="E436" s="37"/>
      <c r="F436" s="36"/>
      <c r="G436" s="37"/>
      <c r="H436" s="37"/>
      <c r="I436" s="37"/>
      <c r="J436" s="37"/>
      <c r="K436" s="37"/>
      <c r="L436" s="37"/>
      <c r="M436" s="37"/>
      <c r="N436" s="29"/>
      <c r="O436" s="37"/>
      <c r="P436" s="29"/>
      <c r="Q436" s="37"/>
      <c r="R436" s="37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</row>
    <row r="437" spans="2:30">
      <c r="B437" s="29"/>
      <c r="C437" s="29"/>
      <c r="D437" s="36"/>
      <c r="E437" s="37"/>
      <c r="F437" s="36"/>
      <c r="G437" s="37"/>
      <c r="H437" s="37"/>
      <c r="I437" s="37"/>
      <c r="J437" s="37"/>
      <c r="K437" s="37"/>
      <c r="L437" s="37"/>
      <c r="M437" s="37"/>
      <c r="N437" s="29"/>
      <c r="O437" s="37"/>
      <c r="P437" s="29"/>
      <c r="Q437" s="37"/>
      <c r="R437" s="37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</row>
    <row r="438" spans="2:30">
      <c r="B438" s="29"/>
      <c r="C438" s="29"/>
      <c r="D438" s="36"/>
      <c r="E438" s="37"/>
      <c r="F438" s="36"/>
      <c r="G438" s="37"/>
      <c r="H438" s="37"/>
      <c r="I438" s="37"/>
      <c r="J438" s="37"/>
      <c r="K438" s="37"/>
      <c r="L438" s="37"/>
      <c r="M438" s="37"/>
      <c r="N438" s="29"/>
      <c r="O438" s="37"/>
      <c r="P438" s="29"/>
      <c r="Q438" s="37"/>
      <c r="R438" s="37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</row>
    <row r="439" spans="2:30">
      <c r="B439" s="29"/>
      <c r="C439" s="29"/>
      <c r="D439" s="36"/>
      <c r="E439" s="37"/>
      <c r="F439" s="36"/>
      <c r="G439" s="37"/>
      <c r="H439" s="37"/>
      <c r="I439" s="37"/>
      <c r="J439" s="37"/>
      <c r="K439" s="37"/>
      <c r="L439" s="37"/>
      <c r="M439" s="37"/>
      <c r="N439" s="29"/>
      <c r="O439" s="37"/>
      <c r="P439" s="29"/>
      <c r="Q439" s="37"/>
      <c r="R439" s="37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</row>
    <row r="440" spans="2:30">
      <c r="B440" s="29"/>
      <c r="C440" s="29"/>
      <c r="D440" s="36"/>
      <c r="E440" s="37"/>
      <c r="F440" s="36"/>
      <c r="G440" s="37"/>
      <c r="H440" s="37"/>
      <c r="I440" s="37"/>
      <c r="J440" s="37"/>
      <c r="K440" s="37"/>
      <c r="L440" s="37"/>
      <c r="M440" s="37"/>
      <c r="N440" s="29"/>
      <c r="O440" s="37"/>
      <c r="P440" s="29"/>
      <c r="Q440" s="37"/>
      <c r="R440" s="37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</row>
    <row r="441" spans="2:30">
      <c r="B441" s="29"/>
      <c r="C441" s="29"/>
      <c r="D441" s="36"/>
      <c r="E441" s="37"/>
      <c r="F441" s="36"/>
      <c r="G441" s="37"/>
      <c r="H441" s="37"/>
      <c r="I441" s="37"/>
      <c r="J441" s="37"/>
      <c r="K441" s="37"/>
      <c r="L441" s="37"/>
      <c r="M441" s="37"/>
      <c r="N441" s="29"/>
      <c r="O441" s="37"/>
      <c r="P441" s="29"/>
      <c r="Q441" s="37"/>
      <c r="R441" s="37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</row>
    <row r="442" spans="2:30">
      <c r="B442" s="29"/>
      <c r="C442" s="29"/>
      <c r="D442" s="36"/>
      <c r="E442" s="37"/>
      <c r="F442" s="36"/>
      <c r="G442" s="37"/>
      <c r="H442" s="37"/>
      <c r="I442" s="37"/>
      <c r="J442" s="37"/>
      <c r="K442" s="37"/>
      <c r="L442" s="37"/>
      <c r="M442" s="37"/>
      <c r="N442" s="29"/>
      <c r="O442" s="37"/>
      <c r="P442" s="29"/>
      <c r="Q442" s="37"/>
      <c r="R442" s="37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</row>
    <row r="443" spans="2:30">
      <c r="B443" s="29"/>
      <c r="C443" s="29"/>
      <c r="D443" s="36"/>
      <c r="E443" s="37"/>
      <c r="F443" s="36"/>
      <c r="G443" s="37"/>
      <c r="H443" s="37"/>
      <c r="I443" s="37"/>
      <c r="J443" s="37"/>
      <c r="K443" s="37"/>
      <c r="L443" s="37"/>
      <c r="M443" s="37"/>
      <c r="N443" s="29"/>
      <c r="O443" s="37"/>
      <c r="P443" s="29"/>
      <c r="Q443" s="37"/>
      <c r="R443" s="37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</row>
    <row r="444" spans="2:30">
      <c r="B444" s="29"/>
      <c r="C444" s="29"/>
      <c r="D444" s="36"/>
      <c r="E444" s="37"/>
      <c r="F444" s="36"/>
      <c r="G444" s="37"/>
      <c r="H444" s="37"/>
      <c r="I444" s="37"/>
      <c r="J444" s="37"/>
      <c r="K444" s="37"/>
      <c r="L444" s="37"/>
      <c r="M444" s="37"/>
      <c r="N444" s="29"/>
      <c r="O444" s="37"/>
      <c r="P444" s="29"/>
      <c r="Q444" s="37"/>
      <c r="R444" s="37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</row>
    <row r="445" spans="2:30">
      <c r="B445" s="29"/>
      <c r="C445" s="29"/>
      <c r="D445" s="36"/>
      <c r="E445" s="37"/>
      <c r="F445" s="36"/>
      <c r="G445" s="37"/>
      <c r="H445" s="37"/>
      <c r="I445" s="37"/>
      <c r="J445" s="37"/>
      <c r="K445" s="37"/>
      <c r="L445" s="37"/>
      <c r="M445" s="37"/>
      <c r="N445" s="29"/>
      <c r="O445" s="37"/>
      <c r="P445" s="29"/>
      <c r="Q445" s="37"/>
      <c r="R445" s="37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</row>
    <row r="446" spans="2:30">
      <c r="B446" s="29"/>
      <c r="C446" s="29"/>
      <c r="D446" s="36"/>
      <c r="E446" s="37"/>
      <c r="F446" s="36"/>
      <c r="G446" s="37"/>
      <c r="H446" s="37"/>
      <c r="I446" s="37"/>
      <c r="J446" s="37"/>
      <c r="K446" s="37"/>
      <c r="L446" s="37"/>
      <c r="M446" s="37"/>
      <c r="N446" s="29"/>
      <c r="O446" s="37"/>
      <c r="P446" s="29"/>
      <c r="Q446" s="37"/>
      <c r="R446" s="37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</row>
    <row r="447" spans="2:30">
      <c r="B447" s="29"/>
      <c r="C447" s="29"/>
      <c r="D447" s="36"/>
      <c r="E447" s="37"/>
      <c r="F447" s="36"/>
      <c r="G447" s="37"/>
      <c r="H447" s="37"/>
      <c r="I447" s="37"/>
      <c r="J447" s="37"/>
      <c r="K447" s="37"/>
      <c r="L447" s="37"/>
      <c r="M447" s="37"/>
      <c r="N447" s="29"/>
      <c r="O447" s="37"/>
      <c r="P447" s="29"/>
      <c r="Q447" s="37"/>
      <c r="R447" s="37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</row>
    <row r="448" spans="2:30">
      <c r="B448" s="29"/>
      <c r="C448" s="29"/>
      <c r="D448" s="36"/>
      <c r="E448" s="37"/>
      <c r="F448" s="36"/>
      <c r="G448" s="37"/>
      <c r="H448" s="37"/>
      <c r="I448" s="37"/>
      <c r="J448" s="37"/>
      <c r="K448" s="37"/>
      <c r="L448" s="37"/>
      <c r="M448" s="37"/>
      <c r="N448" s="29"/>
      <c r="O448" s="37"/>
      <c r="P448" s="29"/>
      <c r="Q448" s="37"/>
      <c r="R448" s="37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</row>
    <row r="449" spans="2:30">
      <c r="B449" s="29"/>
      <c r="C449" s="29"/>
      <c r="D449" s="36"/>
      <c r="E449" s="37"/>
      <c r="F449" s="36"/>
      <c r="G449" s="37"/>
      <c r="H449" s="37"/>
      <c r="I449" s="37"/>
      <c r="J449" s="37"/>
      <c r="K449" s="37"/>
      <c r="L449" s="37"/>
      <c r="M449" s="37"/>
      <c r="N449" s="29"/>
      <c r="O449" s="37"/>
      <c r="P449" s="29"/>
      <c r="Q449" s="37"/>
      <c r="R449" s="37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</row>
    <row r="450" spans="2:30">
      <c r="B450" s="29"/>
      <c r="C450" s="29"/>
      <c r="D450" s="36"/>
      <c r="E450" s="37"/>
      <c r="F450" s="36"/>
      <c r="G450" s="37"/>
      <c r="H450" s="37"/>
      <c r="I450" s="37"/>
      <c r="J450" s="37"/>
      <c r="K450" s="37"/>
      <c r="L450" s="37"/>
      <c r="M450" s="37"/>
      <c r="N450" s="29"/>
      <c r="O450" s="37"/>
      <c r="P450" s="29"/>
      <c r="Q450" s="37"/>
      <c r="R450" s="37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</row>
    <row r="451" spans="2:30">
      <c r="B451" s="29"/>
      <c r="C451" s="29"/>
      <c r="D451" s="36"/>
      <c r="E451" s="37"/>
      <c r="F451" s="36"/>
      <c r="G451" s="37"/>
      <c r="H451" s="37"/>
      <c r="I451" s="37"/>
      <c r="J451" s="37"/>
      <c r="K451" s="37"/>
      <c r="L451" s="37"/>
      <c r="M451" s="37"/>
      <c r="N451" s="29"/>
      <c r="O451" s="37"/>
      <c r="P451" s="29"/>
      <c r="Q451" s="37"/>
      <c r="R451" s="37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</row>
    <row r="452" spans="2:30">
      <c r="B452" s="29"/>
      <c r="C452" s="29"/>
      <c r="D452" s="36"/>
      <c r="E452" s="37"/>
      <c r="F452" s="36"/>
      <c r="G452" s="37"/>
      <c r="H452" s="37"/>
      <c r="I452" s="37"/>
      <c r="J452" s="37"/>
      <c r="K452" s="37"/>
      <c r="L452" s="37"/>
      <c r="M452" s="37"/>
      <c r="N452" s="29"/>
      <c r="O452" s="37"/>
      <c r="P452" s="29"/>
      <c r="Q452" s="37"/>
      <c r="R452" s="37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</row>
    <row r="453" spans="2:30">
      <c r="B453" s="29"/>
      <c r="C453" s="29"/>
      <c r="D453" s="36"/>
      <c r="E453" s="37"/>
      <c r="F453" s="36"/>
      <c r="G453" s="37"/>
      <c r="H453" s="37"/>
      <c r="I453" s="37"/>
      <c r="J453" s="37"/>
      <c r="K453" s="37"/>
      <c r="L453" s="37"/>
      <c r="M453" s="37"/>
      <c r="N453" s="29"/>
      <c r="O453" s="37"/>
      <c r="P453" s="29"/>
      <c r="Q453" s="37"/>
      <c r="R453" s="37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</row>
    <row r="454" spans="2:30">
      <c r="B454" s="29"/>
      <c r="C454" s="29"/>
      <c r="D454" s="36"/>
      <c r="E454" s="37"/>
      <c r="F454" s="36"/>
      <c r="G454" s="37"/>
      <c r="H454" s="37"/>
      <c r="I454" s="37"/>
      <c r="J454" s="37"/>
      <c r="K454" s="37"/>
      <c r="L454" s="37"/>
      <c r="M454" s="37"/>
      <c r="N454" s="29"/>
      <c r="O454" s="37"/>
      <c r="P454" s="29"/>
      <c r="Q454" s="37"/>
      <c r="R454" s="37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</row>
    <row r="455" spans="2:30">
      <c r="B455" s="29"/>
      <c r="C455" s="29"/>
      <c r="D455" s="36"/>
      <c r="E455" s="37"/>
      <c r="F455" s="36"/>
      <c r="G455" s="37"/>
      <c r="H455" s="37"/>
      <c r="I455" s="37"/>
      <c r="J455" s="37"/>
      <c r="K455" s="37"/>
      <c r="L455" s="37"/>
      <c r="M455" s="37"/>
      <c r="N455" s="29"/>
      <c r="O455" s="37"/>
      <c r="P455" s="29"/>
      <c r="Q455" s="37"/>
      <c r="R455" s="37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</row>
    <row r="456" spans="2:30">
      <c r="B456" s="29"/>
      <c r="C456" s="29"/>
      <c r="D456" s="36"/>
      <c r="E456" s="37"/>
      <c r="F456" s="36"/>
      <c r="G456" s="37"/>
      <c r="H456" s="37"/>
      <c r="I456" s="37"/>
      <c r="J456" s="37"/>
      <c r="K456" s="37"/>
      <c r="L456" s="37"/>
      <c r="M456" s="37"/>
      <c r="N456" s="29"/>
      <c r="O456" s="37"/>
      <c r="P456" s="29"/>
      <c r="Q456" s="37"/>
      <c r="R456" s="37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</row>
    <row r="457" spans="2:30">
      <c r="B457" s="29"/>
      <c r="C457" s="29"/>
      <c r="D457" s="36"/>
      <c r="E457" s="37"/>
      <c r="F457" s="36"/>
      <c r="G457" s="37"/>
      <c r="H457" s="37"/>
      <c r="I457" s="37"/>
      <c r="J457" s="37"/>
      <c r="K457" s="37"/>
      <c r="L457" s="37"/>
      <c r="M457" s="37"/>
      <c r="N457" s="29"/>
      <c r="O457" s="37"/>
      <c r="P457" s="29"/>
      <c r="Q457" s="37"/>
      <c r="R457" s="37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</row>
    <row r="458" spans="2:30">
      <c r="B458" s="29"/>
      <c r="C458" s="29"/>
      <c r="D458" s="36"/>
      <c r="E458" s="37"/>
      <c r="F458" s="36"/>
      <c r="G458" s="37"/>
      <c r="H458" s="37"/>
      <c r="I458" s="37"/>
      <c r="J458" s="37"/>
      <c r="K458" s="37"/>
      <c r="L458" s="37"/>
      <c r="M458" s="37"/>
      <c r="N458" s="29"/>
      <c r="O458" s="37"/>
      <c r="P458" s="29"/>
      <c r="Q458" s="37"/>
      <c r="R458" s="37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</row>
    <row r="459" spans="2:30">
      <c r="B459" s="29"/>
      <c r="C459" s="29"/>
      <c r="D459" s="36"/>
      <c r="E459" s="37"/>
      <c r="F459" s="36"/>
      <c r="G459" s="37"/>
      <c r="H459" s="37"/>
      <c r="I459" s="37"/>
      <c r="J459" s="37"/>
      <c r="K459" s="37"/>
      <c r="L459" s="37"/>
      <c r="M459" s="37"/>
      <c r="N459" s="29"/>
      <c r="O459" s="37"/>
      <c r="P459" s="29"/>
      <c r="Q459" s="37"/>
      <c r="R459" s="37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</row>
    <row r="460" spans="2:30">
      <c r="B460" s="29"/>
      <c r="C460" s="29"/>
      <c r="D460" s="36"/>
      <c r="E460" s="37"/>
      <c r="F460" s="36"/>
      <c r="G460" s="37"/>
      <c r="H460" s="37"/>
      <c r="I460" s="37"/>
      <c r="J460" s="37"/>
      <c r="K460" s="37"/>
      <c r="L460" s="37"/>
      <c r="M460" s="37"/>
      <c r="N460" s="29"/>
      <c r="O460" s="37"/>
      <c r="P460" s="29"/>
      <c r="Q460" s="37"/>
      <c r="R460" s="37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</row>
    <row r="461" spans="2:30">
      <c r="B461" s="29"/>
      <c r="C461" s="29"/>
      <c r="D461" s="36"/>
      <c r="E461" s="37"/>
      <c r="F461" s="36"/>
      <c r="G461" s="37"/>
      <c r="H461" s="37"/>
      <c r="I461" s="37"/>
      <c r="J461" s="37"/>
      <c r="K461" s="37"/>
      <c r="L461" s="37"/>
      <c r="M461" s="37"/>
      <c r="N461" s="29"/>
      <c r="O461" s="37"/>
      <c r="P461" s="29"/>
      <c r="Q461" s="37"/>
      <c r="R461" s="37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</row>
    <row r="462" spans="2:30">
      <c r="B462" s="29"/>
      <c r="C462" s="29"/>
      <c r="D462" s="36"/>
      <c r="E462" s="37"/>
      <c r="F462" s="36"/>
      <c r="G462" s="37"/>
      <c r="H462" s="37"/>
      <c r="I462" s="37"/>
      <c r="J462" s="37"/>
      <c r="K462" s="37"/>
      <c r="L462" s="37"/>
      <c r="M462" s="37"/>
      <c r="N462" s="29"/>
      <c r="O462" s="37"/>
      <c r="P462" s="29"/>
      <c r="Q462" s="37"/>
      <c r="R462" s="37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</row>
    <row r="463" spans="2:30">
      <c r="B463" s="29"/>
      <c r="C463" s="29"/>
      <c r="D463" s="36"/>
      <c r="E463" s="37"/>
      <c r="F463" s="36"/>
      <c r="G463" s="37"/>
      <c r="H463" s="37"/>
      <c r="I463" s="37"/>
      <c r="J463" s="37"/>
      <c r="K463" s="37"/>
      <c r="L463" s="37"/>
      <c r="M463" s="37"/>
      <c r="N463" s="29"/>
      <c r="O463" s="37"/>
      <c r="P463" s="29"/>
      <c r="Q463" s="37"/>
      <c r="R463" s="37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</row>
    <row r="464" spans="2:30">
      <c r="B464" s="29"/>
      <c r="C464" s="29"/>
      <c r="D464" s="36"/>
      <c r="E464" s="37"/>
      <c r="F464" s="36"/>
      <c r="G464" s="37"/>
      <c r="H464" s="37"/>
      <c r="I464" s="37"/>
      <c r="J464" s="37"/>
      <c r="K464" s="37"/>
      <c r="L464" s="37"/>
      <c r="M464" s="37"/>
      <c r="N464" s="29"/>
      <c r="O464" s="37"/>
      <c r="P464" s="29"/>
      <c r="Q464" s="37"/>
      <c r="R464" s="37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</row>
    <row r="465" spans="2:30">
      <c r="B465" s="29"/>
      <c r="C465" s="29"/>
      <c r="D465" s="36"/>
      <c r="E465" s="37"/>
      <c r="F465" s="36"/>
      <c r="G465" s="37"/>
      <c r="H465" s="37"/>
      <c r="I465" s="37"/>
      <c r="J465" s="37"/>
      <c r="K465" s="37"/>
      <c r="L465" s="37"/>
      <c r="M465" s="37"/>
      <c r="N465" s="29"/>
      <c r="O465" s="37"/>
      <c r="P465" s="29"/>
      <c r="Q465" s="37"/>
      <c r="R465" s="37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</row>
    <row r="466" spans="2:30">
      <c r="B466" s="29"/>
      <c r="C466" s="29"/>
      <c r="D466" s="36"/>
      <c r="E466" s="37"/>
      <c r="F466" s="36"/>
      <c r="G466" s="37"/>
      <c r="H466" s="37"/>
      <c r="I466" s="37"/>
      <c r="J466" s="37"/>
      <c r="K466" s="37"/>
      <c r="L466" s="37"/>
      <c r="M466" s="37"/>
      <c r="N466" s="29"/>
      <c r="O466" s="37"/>
      <c r="P466" s="29"/>
      <c r="Q466" s="37"/>
      <c r="R466" s="37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</row>
    <row r="467" spans="2:30">
      <c r="B467" s="29"/>
      <c r="C467" s="29"/>
      <c r="D467" s="36"/>
      <c r="E467" s="37"/>
      <c r="F467" s="36"/>
      <c r="G467" s="37"/>
      <c r="H467" s="37"/>
      <c r="I467" s="37"/>
      <c r="J467" s="37"/>
      <c r="K467" s="37"/>
      <c r="L467" s="37"/>
      <c r="M467" s="37"/>
      <c r="N467" s="29"/>
      <c r="O467" s="37"/>
      <c r="P467" s="29"/>
      <c r="Q467" s="37"/>
      <c r="R467" s="37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</row>
    <row r="468" spans="2:30">
      <c r="B468" s="29"/>
      <c r="C468" s="29"/>
      <c r="D468" s="36"/>
      <c r="E468" s="37"/>
      <c r="F468" s="36"/>
      <c r="G468" s="37"/>
      <c r="H468" s="37"/>
      <c r="I468" s="37"/>
      <c r="J468" s="37"/>
      <c r="K468" s="37"/>
      <c r="L468" s="37"/>
      <c r="M468" s="37"/>
      <c r="N468" s="29"/>
      <c r="O468" s="37"/>
      <c r="P468" s="29"/>
      <c r="Q468" s="37"/>
      <c r="R468" s="37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</row>
    <row r="469" spans="2:30">
      <c r="B469" s="29"/>
      <c r="C469" s="29"/>
      <c r="D469" s="36"/>
      <c r="E469" s="37"/>
      <c r="F469" s="36"/>
      <c r="G469" s="37"/>
      <c r="H469" s="37"/>
      <c r="I469" s="37"/>
      <c r="J469" s="37"/>
      <c r="K469" s="37"/>
      <c r="L469" s="37"/>
      <c r="M469" s="37"/>
      <c r="N469" s="29"/>
      <c r="O469" s="37"/>
      <c r="P469" s="29"/>
      <c r="Q469" s="37"/>
      <c r="R469" s="37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</row>
    <row r="470" spans="2:30">
      <c r="B470" s="29"/>
      <c r="C470" s="29"/>
      <c r="D470" s="36"/>
      <c r="E470" s="37"/>
      <c r="F470" s="36"/>
      <c r="G470" s="37"/>
      <c r="H470" s="37"/>
      <c r="I470" s="37"/>
      <c r="J470" s="37"/>
      <c r="K470" s="37"/>
      <c r="L470" s="37"/>
      <c r="M470" s="37"/>
      <c r="N470" s="29"/>
      <c r="O470" s="37"/>
      <c r="P470" s="29"/>
      <c r="Q470" s="37"/>
      <c r="R470" s="37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</row>
    <row r="471" spans="2:30">
      <c r="B471" s="29"/>
      <c r="C471" s="29"/>
      <c r="D471" s="36"/>
      <c r="E471" s="37"/>
      <c r="F471" s="36"/>
      <c r="G471" s="37"/>
      <c r="H471" s="37"/>
      <c r="I471" s="37"/>
      <c r="J471" s="37"/>
      <c r="K471" s="37"/>
      <c r="L471" s="37"/>
      <c r="M471" s="37"/>
      <c r="N471" s="29"/>
      <c r="O471" s="37"/>
      <c r="P471" s="29"/>
      <c r="Q471" s="37"/>
      <c r="R471" s="37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</row>
    <row r="472" spans="2:30">
      <c r="B472" s="29"/>
      <c r="C472" s="29"/>
      <c r="D472" s="36"/>
      <c r="E472" s="37"/>
      <c r="F472" s="36"/>
      <c r="G472" s="37"/>
      <c r="H472" s="37"/>
      <c r="I472" s="37"/>
      <c r="J472" s="37"/>
      <c r="K472" s="37"/>
      <c r="L472" s="37"/>
      <c r="M472" s="37"/>
      <c r="N472" s="29"/>
      <c r="O472" s="37"/>
      <c r="P472" s="29"/>
      <c r="Q472" s="37"/>
      <c r="R472" s="37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</row>
    <row r="473" spans="2:30">
      <c r="B473" s="29"/>
      <c r="C473" s="29"/>
      <c r="D473" s="36"/>
      <c r="E473" s="37"/>
      <c r="F473" s="36"/>
      <c r="G473" s="37"/>
      <c r="H473" s="37"/>
      <c r="I473" s="37"/>
      <c r="J473" s="37"/>
      <c r="K473" s="37"/>
      <c r="L473" s="37"/>
      <c r="M473" s="37"/>
      <c r="N473" s="29"/>
      <c r="O473" s="37"/>
      <c r="P473" s="29"/>
      <c r="Q473" s="37"/>
      <c r="R473" s="37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</row>
    <row r="474" spans="2:30">
      <c r="B474" s="29"/>
      <c r="C474" s="29"/>
      <c r="D474" s="36"/>
      <c r="E474" s="37"/>
      <c r="F474" s="36"/>
      <c r="G474" s="37"/>
      <c r="H474" s="37"/>
      <c r="I474" s="37"/>
      <c r="J474" s="37"/>
      <c r="K474" s="37"/>
      <c r="L474" s="37"/>
      <c r="M474" s="37"/>
      <c r="N474" s="29"/>
      <c r="O474" s="37"/>
      <c r="P474" s="29"/>
      <c r="Q474" s="37"/>
      <c r="R474" s="37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</row>
    <row r="475" spans="2:30">
      <c r="B475" s="29"/>
      <c r="C475" s="29"/>
      <c r="D475" s="36"/>
      <c r="E475" s="37"/>
      <c r="F475" s="36"/>
      <c r="G475" s="37"/>
      <c r="H475" s="37"/>
      <c r="I475" s="37"/>
      <c r="J475" s="37"/>
      <c r="K475" s="37"/>
      <c r="L475" s="37"/>
      <c r="M475" s="37"/>
      <c r="N475" s="29"/>
      <c r="O475" s="37"/>
      <c r="P475" s="29"/>
      <c r="Q475" s="37"/>
      <c r="R475" s="37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</row>
    <row r="476" spans="2:30">
      <c r="B476" s="29"/>
      <c r="C476" s="29"/>
      <c r="D476" s="36"/>
      <c r="E476" s="37"/>
      <c r="F476" s="36"/>
      <c r="G476" s="37"/>
      <c r="H476" s="37"/>
      <c r="I476" s="37"/>
      <c r="J476" s="37"/>
      <c r="K476" s="37"/>
      <c r="L476" s="37"/>
      <c r="M476" s="37"/>
      <c r="N476" s="29"/>
      <c r="O476" s="37"/>
      <c r="P476" s="29"/>
      <c r="Q476" s="37"/>
      <c r="R476" s="37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</row>
    <row r="477" spans="2:30">
      <c r="B477" s="29"/>
      <c r="C477" s="29"/>
      <c r="D477" s="36"/>
      <c r="E477" s="37"/>
      <c r="F477" s="36"/>
      <c r="G477" s="37"/>
      <c r="H477" s="37"/>
      <c r="I477" s="37"/>
      <c r="J477" s="37"/>
      <c r="K477" s="37"/>
      <c r="L477" s="37"/>
      <c r="M477" s="37"/>
      <c r="N477" s="29"/>
      <c r="O477" s="37"/>
      <c r="P477" s="29"/>
      <c r="Q477" s="37"/>
      <c r="R477" s="37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</row>
    <row r="478" spans="2:30">
      <c r="B478" s="29"/>
      <c r="C478" s="29"/>
      <c r="D478" s="36"/>
      <c r="E478" s="37"/>
      <c r="F478" s="36"/>
      <c r="G478" s="37"/>
      <c r="H478" s="37"/>
      <c r="I478" s="37"/>
      <c r="J478" s="37"/>
      <c r="K478" s="37"/>
      <c r="L478" s="37"/>
      <c r="M478" s="37"/>
      <c r="N478" s="29"/>
      <c r="O478" s="37"/>
      <c r="P478" s="29"/>
      <c r="Q478" s="37"/>
      <c r="R478" s="37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</row>
    <row r="479" spans="2:30">
      <c r="B479" s="29"/>
      <c r="C479" s="29"/>
      <c r="D479" s="36"/>
      <c r="E479" s="37"/>
      <c r="F479" s="36"/>
      <c r="G479" s="37"/>
      <c r="H479" s="37"/>
      <c r="I479" s="37"/>
      <c r="J479" s="37"/>
      <c r="K479" s="37"/>
      <c r="L479" s="37"/>
      <c r="M479" s="37"/>
      <c r="N479" s="29"/>
      <c r="O479" s="37"/>
      <c r="P479" s="29"/>
      <c r="Q479" s="37"/>
      <c r="R479" s="37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</row>
    <row r="480" spans="2:30">
      <c r="B480" s="29"/>
      <c r="C480" s="29"/>
      <c r="D480" s="36"/>
      <c r="E480" s="37"/>
      <c r="F480" s="36"/>
      <c r="G480" s="37"/>
      <c r="H480" s="37"/>
      <c r="I480" s="37"/>
      <c r="J480" s="37"/>
      <c r="K480" s="37"/>
      <c r="L480" s="37"/>
      <c r="M480" s="37"/>
      <c r="N480" s="29"/>
      <c r="O480" s="37"/>
      <c r="P480" s="29"/>
      <c r="Q480" s="37"/>
      <c r="R480" s="37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</row>
    <row r="481" spans="2:30">
      <c r="B481" s="29"/>
      <c r="C481" s="29"/>
      <c r="D481" s="36"/>
      <c r="E481" s="37"/>
      <c r="F481" s="36"/>
      <c r="G481" s="37"/>
      <c r="H481" s="37"/>
      <c r="I481" s="37"/>
      <c r="J481" s="37"/>
      <c r="K481" s="37"/>
      <c r="L481" s="37"/>
      <c r="M481" s="37"/>
      <c r="N481" s="29"/>
      <c r="O481" s="37"/>
      <c r="P481" s="29"/>
      <c r="Q481" s="37"/>
      <c r="R481" s="37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</row>
    <row r="482" spans="2:30">
      <c r="B482" s="29"/>
      <c r="C482" s="29"/>
      <c r="D482" s="36"/>
      <c r="E482" s="37"/>
      <c r="F482" s="36"/>
      <c r="G482" s="37"/>
      <c r="H482" s="37"/>
      <c r="I482" s="37"/>
      <c r="J482" s="37"/>
      <c r="K482" s="37"/>
      <c r="L482" s="37"/>
      <c r="M482" s="37"/>
      <c r="N482" s="29"/>
      <c r="O482" s="37"/>
      <c r="P482" s="29"/>
      <c r="Q482" s="37"/>
      <c r="R482" s="37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</row>
    <row r="483" spans="2:30">
      <c r="B483" s="29"/>
      <c r="C483" s="29"/>
      <c r="D483" s="36"/>
      <c r="E483" s="37"/>
      <c r="F483" s="36"/>
      <c r="G483" s="37"/>
      <c r="H483" s="37"/>
      <c r="I483" s="37"/>
      <c r="J483" s="37"/>
      <c r="K483" s="37"/>
      <c r="L483" s="37"/>
      <c r="M483" s="37"/>
      <c r="N483" s="29"/>
      <c r="O483" s="37"/>
      <c r="P483" s="29"/>
      <c r="Q483" s="37"/>
      <c r="R483" s="37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</row>
    <row r="484" spans="2:30">
      <c r="B484" s="29"/>
      <c r="C484" s="29"/>
      <c r="D484" s="36"/>
      <c r="E484" s="37"/>
      <c r="F484" s="36"/>
      <c r="G484" s="37"/>
      <c r="H484" s="37"/>
      <c r="I484" s="37"/>
      <c r="J484" s="37"/>
      <c r="K484" s="37"/>
      <c r="L484" s="37"/>
      <c r="M484" s="37"/>
      <c r="N484" s="29"/>
      <c r="O484" s="37"/>
      <c r="P484" s="29"/>
      <c r="Q484" s="37"/>
      <c r="R484" s="37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</row>
    <row r="485" spans="2:30">
      <c r="B485" s="29"/>
      <c r="C485" s="29"/>
      <c r="D485" s="36"/>
      <c r="E485" s="37"/>
      <c r="F485" s="36"/>
      <c r="G485" s="37"/>
      <c r="H485" s="37"/>
      <c r="I485" s="37"/>
      <c r="J485" s="37"/>
      <c r="K485" s="37"/>
      <c r="L485" s="37"/>
      <c r="M485" s="37"/>
      <c r="N485" s="29"/>
      <c r="O485" s="37"/>
      <c r="P485" s="29"/>
      <c r="Q485" s="37"/>
      <c r="R485" s="37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</row>
    <row r="486" spans="2:30">
      <c r="B486" s="29"/>
      <c r="C486" s="29"/>
      <c r="D486" s="36"/>
      <c r="E486" s="37"/>
      <c r="F486" s="36"/>
      <c r="G486" s="37"/>
      <c r="H486" s="37"/>
      <c r="I486" s="37"/>
      <c r="J486" s="37"/>
      <c r="K486" s="37"/>
      <c r="L486" s="37"/>
      <c r="M486" s="37"/>
      <c r="N486" s="29"/>
      <c r="O486" s="37"/>
      <c r="P486" s="29"/>
      <c r="Q486" s="37"/>
      <c r="R486" s="37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</row>
    <row r="487" spans="2:30">
      <c r="B487" s="29"/>
      <c r="C487" s="29"/>
      <c r="D487" s="36"/>
      <c r="E487" s="37"/>
      <c r="F487" s="36"/>
      <c r="G487" s="37"/>
      <c r="H487" s="37"/>
      <c r="I487" s="37"/>
      <c r="J487" s="37"/>
      <c r="K487" s="37"/>
      <c r="L487" s="37"/>
      <c r="M487" s="37"/>
      <c r="N487" s="29"/>
      <c r="O487" s="37"/>
      <c r="P487" s="29"/>
      <c r="Q487" s="37"/>
      <c r="R487" s="37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</row>
    <row r="488" spans="2:30">
      <c r="B488" s="29"/>
      <c r="C488" s="29"/>
      <c r="D488" s="36"/>
      <c r="E488" s="37"/>
      <c r="F488" s="36"/>
      <c r="G488" s="37"/>
      <c r="H488" s="37"/>
      <c r="I488" s="37"/>
      <c r="J488" s="37"/>
      <c r="K488" s="37"/>
      <c r="L488" s="37"/>
      <c r="M488" s="37"/>
      <c r="N488" s="29"/>
      <c r="O488" s="37"/>
      <c r="P488" s="29"/>
      <c r="Q488" s="37"/>
      <c r="R488" s="37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</row>
    <row r="489" spans="2:30">
      <c r="B489" s="29"/>
      <c r="C489" s="29"/>
      <c r="D489" s="36"/>
      <c r="E489" s="37"/>
      <c r="F489" s="36"/>
      <c r="G489" s="37"/>
      <c r="H489" s="37"/>
      <c r="I489" s="37"/>
      <c r="J489" s="37"/>
      <c r="K489" s="37"/>
      <c r="L489" s="37"/>
      <c r="M489" s="37"/>
      <c r="N489" s="29"/>
      <c r="O489" s="37"/>
      <c r="P489" s="29"/>
      <c r="Q489" s="37"/>
      <c r="R489" s="37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</row>
    <row r="490" spans="2:30">
      <c r="B490" s="29"/>
      <c r="C490" s="29"/>
      <c r="D490" s="36"/>
      <c r="E490" s="37"/>
      <c r="F490" s="36"/>
      <c r="G490" s="37"/>
      <c r="H490" s="37"/>
      <c r="I490" s="37"/>
      <c r="J490" s="37"/>
      <c r="K490" s="37"/>
      <c r="L490" s="37"/>
      <c r="M490" s="37"/>
      <c r="N490" s="29"/>
      <c r="O490" s="37"/>
      <c r="P490" s="29"/>
      <c r="Q490" s="37"/>
      <c r="R490" s="37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</row>
    <row r="491" spans="2:30">
      <c r="B491" s="29"/>
      <c r="C491" s="29"/>
      <c r="D491" s="36"/>
      <c r="E491" s="37"/>
      <c r="F491" s="36"/>
      <c r="G491" s="37"/>
      <c r="H491" s="37"/>
      <c r="I491" s="37"/>
      <c r="J491" s="37"/>
      <c r="K491" s="37"/>
      <c r="L491" s="37"/>
      <c r="M491" s="37"/>
      <c r="N491" s="29"/>
      <c r="O491" s="37"/>
      <c r="P491" s="29"/>
      <c r="Q491" s="37"/>
      <c r="R491" s="37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</row>
    <row r="492" spans="2:30">
      <c r="B492" s="29"/>
      <c r="C492" s="29"/>
      <c r="D492" s="36"/>
      <c r="E492" s="37"/>
      <c r="F492" s="36"/>
      <c r="G492" s="37"/>
      <c r="H492" s="37"/>
      <c r="I492" s="37"/>
      <c r="J492" s="37"/>
      <c r="K492" s="37"/>
      <c r="L492" s="37"/>
      <c r="M492" s="37"/>
      <c r="N492" s="29"/>
      <c r="O492" s="37"/>
      <c r="P492" s="29"/>
      <c r="Q492" s="37"/>
      <c r="R492" s="37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</row>
    <row r="493" spans="2:30">
      <c r="B493" s="29"/>
      <c r="C493" s="29"/>
      <c r="D493" s="36"/>
      <c r="E493" s="37"/>
      <c r="F493" s="36"/>
      <c r="G493" s="37"/>
      <c r="H493" s="37"/>
      <c r="I493" s="37"/>
      <c r="J493" s="37"/>
      <c r="K493" s="37"/>
      <c r="L493" s="37"/>
      <c r="M493" s="37"/>
      <c r="N493" s="29"/>
      <c r="O493" s="37"/>
      <c r="P493" s="29"/>
      <c r="Q493" s="37"/>
      <c r="R493" s="37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</row>
    <row r="494" spans="2:30">
      <c r="B494" s="29"/>
      <c r="C494" s="29"/>
      <c r="D494" s="36"/>
      <c r="E494" s="37"/>
      <c r="F494" s="36"/>
      <c r="G494" s="37"/>
      <c r="H494" s="37"/>
      <c r="I494" s="37"/>
      <c r="J494" s="37"/>
      <c r="K494" s="37"/>
      <c r="L494" s="37"/>
      <c r="M494" s="37"/>
      <c r="N494" s="29"/>
      <c r="O494" s="37"/>
      <c r="P494" s="29"/>
      <c r="Q494" s="37"/>
      <c r="R494" s="37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</row>
    <row r="495" spans="2:30">
      <c r="B495" s="29"/>
      <c r="C495" s="29"/>
      <c r="D495" s="36"/>
      <c r="E495" s="37"/>
      <c r="F495" s="36"/>
      <c r="G495" s="37"/>
      <c r="H495" s="37"/>
      <c r="I495" s="37"/>
      <c r="J495" s="37"/>
      <c r="K495" s="37"/>
      <c r="L495" s="37"/>
      <c r="M495" s="37"/>
      <c r="N495" s="29"/>
      <c r="O495" s="37"/>
      <c r="P495" s="29"/>
      <c r="Q495" s="37"/>
      <c r="R495" s="37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</row>
    <row r="496" spans="2:30">
      <c r="B496" s="29"/>
      <c r="C496" s="29"/>
      <c r="D496" s="36"/>
      <c r="E496" s="37"/>
      <c r="F496" s="36"/>
      <c r="G496" s="37"/>
      <c r="H496" s="37"/>
      <c r="I496" s="37"/>
      <c r="J496" s="37"/>
      <c r="K496" s="37"/>
      <c r="L496" s="37"/>
      <c r="M496" s="37"/>
      <c r="N496" s="29"/>
      <c r="O496" s="37"/>
      <c r="P496" s="29"/>
      <c r="Q496" s="37"/>
      <c r="R496" s="37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</row>
    <row r="497" spans="2:30">
      <c r="B497" s="29"/>
      <c r="C497" s="29"/>
      <c r="D497" s="36"/>
      <c r="E497" s="37"/>
      <c r="F497" s="36"/>
      <c r="G497" s="37"/>
      <c r="H497" s="37"/>
      <c r="I497" s="37"/>
      <c r="J497" s="37"/>
      <c r="K497" s="37"/>
      <c r="L497" s="37"/>
      <c r="M497" s="37"/>
      <c r="N497" s="29"/>
      <c r="O497" s="37"/>
      <c r="P497" s="29"/>
      <c r="Q497" s="37"/>
      <c r="R497" s="37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</row>
    <row r="498" spans="2:30">
      <c r="B498" s="29"/>
      <c r="C498" s="29"/>
      <c r="D498" s="36"/>
      <c r="E498" s="37"/>
      <c r="F498" s="36"/>
      <c r="G498" s="37"/>
      <c r="H498" s="37"/>
      <c r="I498" s="37"/>
      <c r="J498" s="37"/>
      <c r="K498" s="37"/>
      <c r="L498" s="37"/>
      <c r="M498" s="37"/>
      <c r="N498" s="29"/>
      <c r="O498" s="37"/>
      <c r="P498" s="29"/>
      <c r="Q498" s="37"/>
      <c r="R498" s="37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</row>
    <row r="499" spans="2:30">
      <c r="B499" s="29"/>
      <c r="C499" s="29"/>
      <c r="D499" s="36"/>
      <c r="E499" s="37"/>
      <c r="F499" s="36"/>
      <c r="G499" s="37"/>
      <c r="H499" s="37"/>
      <c r="I499" s="37"/>
      <c r="J499" s="37"/>
      <c r="K499" s="37"/>
      <c r="L499" s="37"/>
      <c r="M499" s="37"/>
      <c r="N499" s="29"/>
      <c r="O499" s="37"/>
      <c r="P499" s="29"/>
      <c r="Q499" s="37"/>
      <c r="R499" s="37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</row>
    <row r="500" spans="2:30">
      <c r="B500" s="29"/>
      <c r="C500" s="29"/>
      <c r="D500" s="36"/>
      <c r="E500" s="37"/>
      <c r="F500" s="36"/>
      <c r="G500" s="37"/>
      <c r="H500" s="37"/>
      <c r="I500" s="37"/>
      <c r="J500" s="37"/>
      <c r="K500" s="37"/>
      <c r="L500" s="37"/>
      <c r="M500" s="37"/>
      <c r="N500" s="29"/>
      <c r="O500" s="37"/>
      <c r="P500" s="29"/>
      <c r="Q500" s="37"/>
      <c r="R500" s="37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</row>
    <row r="501" spans="2:30">
      <c r="B501" s="29"/>
      <c r="C501" s="29"/>
      <c r="D501" s="36"/>
      <c r="E501" s="37"/>
      <c r="F501" s="36"/>
      <c r="G501" s="37"/>
      <c r="H501" s="37"/>
      <c r="I501" s="37"/>
      <c r="J501" s="37"/>
      <c r="K501" s="37"/>
      <c r="L501" s="37"/>
      <c r="M501" s="37"/>
      <c r="N501" s="29"/>
      <c r="O501" s="37"/>
      <c r="P501" s="29"/>
      <c r="Q501" s="37"/>
      <c r="R501" s="37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</row>
    <row r="502" spans="2:30">
      <c r="B502" s="29"/>
      <c r="C502" s="29"/>
      <c r="D502" s="36"/>
      <c r="E502" s="37"/>
      <c r="F502" s="36"/>
      <c r="G502" s="37"/>
      <c r="H502" s="37"/>
      <c r="I502" s="37"/>
      <c r="J502" s="37"/>
      <c r="K502" s="37"/>
      <c r="L502" s="37"/>
      <c r="M502" s="37"/>
      <c r="N502" s="29"/>
      <c r="O502" s="37"/>
      <c r="P502" s="29"/>
      <c r="Q502" s="37"/>
      <c r="R502" s="37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</row>
    <row r="503" spans="2:30">
      <c r="B503" s="29"/>
      <c r="C503" s="29"/>
      <c r="D503" s="36"/>
      <c r="E503" s="37"/>
      <c r="F503" s="36"/>
      <c r="G503" s="37"/>
      <c r="H503" s="37"/>
      <c r="I503" s="37"/>
      <c r="J503" s="37"/>
      <c r="K503" s="37"/>
      <c r="L503" s="37"/>
      <c r="M503" s="37"/>
      <c r="N503" s="29"/>
      <c r="O503" s="37"/>
      <c r="P503" s="29"/>
      <c r="Q503" s="37"/>
      <c r="R503" s="37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</row>
    <row r="504" spans="2:30">
      <c r="B504" s="29"/>
      <c r="C504" s="29"/>
      <c r="D504" s="36"/>
      <c r="E504" s="37"/>
      <c r="F504" s="36"/>
      <c r="G504" s="37"/>
      <c r="H504" s="37"/>
      <c r="I504" s="37"/>
      <c r="J504" s="37"/>
      <c r="K504" s="37"/>
      <c r="L504" s="37"/>
      <c r="M504" s="37"/>
      <c r="N504" s="29"/>
      <c r="O504" s="37"/>
      <c r="P504" s="29"/>
      <c r="Q504" s="37"/>
      <c r="R504" s="37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</row>
    <row r="505" spans="2:30">
      <c r="B505" s="29"/>
      <c r="C505" s="29"/>
      <c r="D505" s="36"/>
      <c r="E505" s="37"/>
      <c r="F505" s="36"/>
      <c r="G505" s="37"/>
      <c r="H505" s="37"/>
      <c r="I505" s="37"/>
      <c r="J505" s="37"/>
      <c r="K505" s="37"/>
      <c r="L505" s="37"/>
      <c r="M505" s="37"/>
      <c r="N505" s="29"/>
      <c r="O505" s="37"/>
      <c r="P505" s="29"/>
      <c r="Q505" s="37"/>
      <c r="R505" s="37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</row>
    <row r="506" spans="2:30">
      <c r="B506" s="29"/>
      <c r="C506" s="29"/>
      <c r="D506" s="36"/>
      <c r="E506" s="37"/>
      <c r="F506" s="36"/>
      <c r="G506" s="37"/>
      <c r="H506" s="37"/>
      <c r="I506" s="37"/>
      <c r="J506" s="37"/>
      <c r="K506" s="37"/>
      <c r="L506" s="37"/>
      <c r="M506" s="37"/>
      <c r="N506" s="29"/>
      <c r="O506" s="37"/>
      <c r="P506" s="29"/>
      <c r="Q506" s="37"/>
      <c r="R506" s="37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</row>
    <row r="507" spans="2:30">
      <c r="B507" s="29"/>
      <c r="C507" s="29"/>
      <c r="D507" s="36"/>
      <c r="E507" s="37"/>
      <c r="F507" s="36"/>
      <c r="G507" s="37"/>
      <c r="H507" s="37"/>
      <c r="I507" s="37"/>
      <c r="J507" s="37"/>
      <c r="K507" s="37"/>
      <c r="L507" s="37"/>
      <c r="M507" s="37"/>
      <c r="N507" s="29"/>
      <c r="O507" s="37"/>
      <c r="P507" s="29"/>
      <c r="Q507" s="37"/>
      <c r="R507" s="37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</row>
    <row r="508" spans="2:30">
      <c r="B508" s="29"/>
      <c r="C508" s="29"/>
      <c r="D508" s="36"/>
      <c r="E508" s="37"/>
      <c r="F508" s="36"/>
      <c r="G508" s="37"/>
      <c r="H508" s="37"/>
      <c r="I508" s="37"/>
      <c r="J508" s="37"/>
      <c r="K508" s="37"/>
      <c r="L508" s="37"/>
      <c r="M508" s="37"/>
      <c r="N508" s="29"/>
      <c r="O508" s="37"/>
      <c r="P508" s="29"/>
      <c r="Q508" s="37"/>
      <c r="R508" s="37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</row>
    <row r="509" spans="2:30">
      <c r="B509" s="29"/>
      <c r="C509" s="29"/>
      <c r="D509" s="36"/>
      <c r="E509" s="37"/>
      <c r="F509" s="36"/>
      <c r="G509" s="37"/>
      <c r="H509" s="37"/>
      <c r="I509" s="37"/>
      <c r="J509" s="37"/>
      <c r="K509" s="37"/>
      <c r="L509" s="37"/>
      <c r="M509" s="37"/>
      <c r="N509" s="29"/>
      <c r="O509" s="37"/>
      <c r="P509" s="29"/>
      <c r="Q509" s="37"/>
      <c r="R509" s="37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</row>
    <row r="510" spans="2:30">
      <c r="B510" s="29"/>
      <c r="C510" s="29"/>
      <c r="D510" s="36"/>
      <c r="E510" s="37"/>
      <c r="F510" s="36"/>
      <c r="G510" s="37"/>
      <c r="H510" s="37"/>
      <c r="I510" s="37"/>
      <c r="J510" s="37"/>
      <c r="K510" s="37"/>
      <c r="L510" s="37"/>
      <c r="M510" s="37"/>
      <c r="N510" s="29"/>
      <c r="O510" s="37"/>
      <c r="P510" s="29"/>
      <c r="Q510" s="37"/>
      <c r="R510" s="37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</row>
    <row r="511" spans="2:30">
      <c r="B511" s="29"/>
      <c r="C511" s="29"/>
      <c r="D511" s="36"/>
      <c r="E511" s="37"/>
      <c r="F511" s="36"/>
      <c r="G511" s="37"/>
      <c r="H511" s="37"/>
      <c r="I511" s="37"/>
      <c r="J511" s="37"/>
      <c r="K511" s="37"/>
      <c r="L511" s="37"/>
      <c r="M511" s="37"/>
      <c r="N511" s="29"/>
      <c r="O511" s="37"/>
      <c r="P511" s="29"/>
      <c r="Q511" s="37"/>
      <c r="R511" s="37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</row>
    <row r="512" spans="2:30">
      <c r="B512" s="29"/>
      <c r="C512" s="29"/>
      <c r="D512" s="36"/>
      <c r="E512" s="37"/>
      <c r="F512" s="36"/>
      <c r="G512" s="37"/>
      <c r="H512" s="37"/>
      <c r="I512" s="37"/>
      <c r="J512" s="37"/>
      <c r="K512" s="37"/>
      <c r="L512" s="37"/>
      <c r="M512" s="37"/>
      <c r="N512" s="29"/>
      <c r="O512" s="37"/>
      <c r="P512" s="29"/>
      <c r="Q512" s="37"/>
      <c r="R512" s="37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</row>
    <row r="513" spans="2:30">
      <c r="B513" s="29"/>
      <c r="C513" s="29"/>
      <c r="D513" s="36"/>
      <c r="E513" s="37"/>
      <c r="F513" s="36"/>
      <c r="G513" s="37"/>
      <c r="H513" s="37"/>
      <c r="I513" s="37"/>
      <c r="J513" s="37"/>
      <c r="K513" s="37"/>
      <c r="L513" s="37"/>
      <c r="M513" s="37"/>
      <c r="N513" s="29"/>
      <c r="O513" s="37"/>
      <c r="P513" s="29"/>
      <c r="Q513" s="37"/>
      <c r="R513" s="37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</row>
    <row r="514" spans="2:30">
      <c r="B514" s="29"/>
      <c r="C514" s="29"/>
      <c r="D514" s="36"/>
      <c r="E514" s="37"/>
      <c r="F514" s="36"/>
      <c r="G514" s="37"/>
      <c r="H514" s="37"/>
      <c r="I514" s="37"/>
      <c r="J514" s="37"/>
      <c r="K514" s="37"/>
      <c r="L514" s="37"/>
      <c r="M514" s="37"/>
      <c r="N514" s="29"/>
      <c r="O514" s="37"/>
      <c r="P514" s="29"/>
      <c r="Q514" s="37"/>
      <c r="R514" s="37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</row>
    <row r="515" spans="2:30">
      <c r="B515" s="29"/>
      <c r="C515" s="29"/>
      <c r="D515" s="36"/>
      <c r="E515" s="37"/>
      <c r="F515" s="36"/>
      <c r="G515" s="37"/>
      <c r="H515" s="37"/>
      <c r="I515" s="37"/>
      <c r="J515" s="37"/>
      <c r="K515" s="37"/>
      <c r="L515" s="37"/>
      <c r="M515" s="37"/>
      <c r="N515" s="29"/>
      <c r="O515" s="37"/>
      <c r="P515" s="29"/>
      <c r="Q515" s="37"/>
      <c r="R515" s="37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</row>
    <row r="516" spans="2:30">
      <c r="B516" s="29"/>
      <c r="C516" s="29"/>
      <c r="D516" s="36"/>
      <c r="E516" s="37"/>
      <c r="F516" s="36"/>
      <c r="G516" s="37"/>
      <c r="H516" s="37"/>
      <c r="I516" s="37"/>
      <c r="J516" s="37"/>
      <c r="K516" s="37"/>
      <c r="L516" s="37"/>
      <c r="M516" s="37"/>
      <c r="N516" s="29"/>
      <c r="O516" s="37"/>
      <c r="P516" s="29"/>
      <c r="Q516" s="37"/>
      <c r="R516" s="37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</row>
    <row r="517" spans="2:30">
      <c r="B517" s="29"/>
      <c r="C517" s="29"/>
      <c r="D517" s="36"/>
      <c r="E517" s="37"/>
      <c r="F517" s="36"/>
      <c r="G517" s="37"/>
      <c r="H517" s="37"/>
      <c r="I517" s="37"/>
      <c r="J517" s="37"/>
      <c r="K517" s="37"/>
      <c r="L517" s="37"/>
      <c r="M517" s="37"/>
      <c r="N517" s="29"/>
      <c r="O517" s="37"/>
      <c r="P517" s="29"/>
      <c r="Q517" s="37"/>
      <c r="R517" s="37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</row>
    <row r="518" spans="2:30">
      <c r="B518" s="29"/>
      <c r="C518" s="29"/>
      <c r="D518" s="36"/>
      <c r="E518" s="37"/>
      <c r="F518" s="36"/>
      <c r="G518" s="37"/>
      <c r="H518" s="37"/>
      <c r="I518" s="37"/>
      <c r="J518" s="37"/>
      <c r="K518" s="37"/>
      <c r="L518" s="37"/>
      <c r="M518" s="37"/>
      <c r="N518" s="29"/>
      <c r="O518" s="37"/>
      <c r="P518" s="29"/>
      <c r="Q518" s="37"/>
      <c r="R518" s="37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</row>
    <row r="519" spans="2:30">
      <c r="B519" s="29"/>
      <c r="C519" s="29"/>
      <c r="D519" s="36"/>
      <c r="E519" s="37"/>
      <c r="F519" s="36"/>
      <c r="G519" s="37"/>
      <c r="H519" s="37"/>
      <c r="I519" s="37"/>
      <c r="J519" s="37"/>
      <c r="K519" s="37"/>
      <c r="L519" s="37"/>
      <c r="M519" s="37"/>
      <c r="N519" s="29"/>
      <c r="O519" s="37"/>
      <c r="P519" s="29"/>
      <c r="Q519" s="37"/>
      <c r="R519" s="37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</row>
    <row r="520" spans="2:30">
      <c r="B520" s="29"/>
      <c r="C520" s="29"/>
      <c r="D520" s="36"/>
      <c r="E520" s="37"/>
      <c r="F520" s="36"/>
      <c r="G520" s="37"/>
      <c r="H520" s="37"/>
      <c r="I520" s="37"/>
      <c r="J520" s="37"/>
      <c r="K520" s="37"/>
      <c r="L520" s="37"/>
      <c r="M520" s="37"/>
      <c r="N520" s="29"/>
      <c r="O520" s="37"/>
      <c r="P520" s="29"/>
      <c r="Q520" s="37"/>
      <c r="R520" s="37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</row>
    <row r="521" spans="2:30">
      <c r="B521" s="29"/>
      <c r="C521" s="29"/>
      <c r="D521" s="36"/>
      <c r="E521" s="37"/>
      <c r="F521" s="36"/>
      <c r="G521" s="37"/>
      <c r="H521" s="37"/>
      <c r="I521" s="37"/>
      <c r="J521" s="37"/>
      <c r="K521" s="37"/>
      <c r="L521" s="37"/>
      <c r="M521" s="37"/>
      <c r="N521" s="29"/>
      <c r="O521" s="37"/>
      <c r="P521" s="29"/>
      <c r="Q521" s="37"/>
      <c r="R521" s="37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</row>
    <row r="522" spans="2:30">
      <c r="B522" s="29"/>
      <c r="C522" s="29"/>
      <c r="D522" s="36"/>
      <c r="E522" s="37"/>
      <c r="F522" s="36"/>
      <c r="G522" s="37"/>
      <c r="H522" s="37"/>
      <c r="I522" s="37"/>
      <c r="J522" s="37"/>
      <c r="K522" s="37"/>
      <c r="L522" s="37"/>
      <c r="M522" s="37"/>
      <c r="N522" s="29"/>
      <c r="O522" s="37"/>
      <c r="P522" s="29"/>
      <c r="Q522" s="37"/>
      <c r="R522" s="37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</row>
    <row r="523" spans="2:30">
      <c r="B523" s="29"/>
      <c r="C523" s="29"/>
      <c r="D523" s="36"/>
      <c r="E523" s="37"/>
      <c r="F523" s="36"/>
      <c r="G523" s="37"/>
      <c r="H523" s="37"/>
      <c r="I523" s="37"/>
      <c r="J523" s="37"/>
      <c r="K523" s="37"/>
      <c r="L523" s="37"/>
      <c r="M523" s="37"/>
      <c r="N523" s="29"/>
      <c r="O523" s="37"/>
      <c r="P523" s="29"/>
      <c r="Q523" s="37"/>
      <c r="R523" s="37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</row>
    <row r="524" spans="2:30">
      <c r="B524" s="29"/>
      <c r="C524" s="29"/>
      <c r="D524" s="36"/>
      <c r="E524" s="37"/>
      <c r="F524" s="36"/>
      <c r="G524" s="37"/>
      <c r="H524" s="37"/>
      <c r="I524" s="37"/>
      <c r="J524" s="37"/>
      <c r="K524" s="37"/>
      <c r="L524" s="37"/>
      <c r="M524" s="37"/>
      <c r="N524" s="29"/>
      <c r="O524" s="37"/>
      <c r="P524" s="29"/>
      <c r="Q524" s="37"/>
      <c r="R524" s="37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</row>
    <row r="525" spans="2:30">
      <c r="B525" s="29"/>
      <c r="C525" s="29"/>
      <c r="D525" s="36"/>
      <c r="E525" s="37"/>
      <c r="F525" s="36"/>
      <c r="G525" s="37"/>
      <c r="H525" s="37"/>
      <c r="I525" s="37"/>
      <c r="J525" s="37"/>
      <c r="K525" s="37"/>
      <c r="L525" s="37"/>
      <c r="M525" s="37"/>
      <c r="N525" s="29"/>
      <c r="O525" s="37"/>
      <c r="P525" s="29"/>
      <c r="Q525" s="37"/>
      <c r="R525" s="37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</row>
    <row r="526" spans="2:30">
      <c r="B526" s="29"/>
      <c r="C526" s="29"/>
      <c r="D526" s="36"/>
      <c r="E526" s="37"/>
      <c r="F526" s="36"/>
      <c r="G526" s="37"/>
      <c r="H526" s="37"/>
      <c r="I526" s="37"/>
      <c r="J526" s="37"/>
      <c r="K526" s="37"/>
      <c r="L526" s="37"/>
      <c r="M526" s="37"/>
      <c r="N526" s="29"/>
      <c r="O526" s="37"/>
      <c r="P526" s="29"/>
      <c r="Q526" s="37"/>
      <c r="R526" s="37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</row>
    <row r="527" spans="2:30">
      <c r="B527" s="29"/>
      <c r="C527" s="29"/>
      <c r="D527" s="36"/>
      <c r="E527" s="37"/>
      <c r="F527" s="36"/>
      <c r="G527" s="37"/>
      <c r="H527" s="37"/>
      <c r="I527" s="37"/>
      <c r="J527" s="37"/>
      <c r="K527" s="37"/>
      <c r="L527" s="37"/>
      <c r="M527" s="37"/>
      <c r="N527" s="29"/>
      <c r="O527" s="37"/>
      <c r="P527" s="29"/>
      <c r="Q527" s="37"/>
      <c r="R527" s="37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</row>
    <row r="528" spans="2:30">
      <c r="B528" s="29"/>
      <c r="C528" s="29"/>
      <c r="D528" s="36"/>
      <c r="E528" s="37"/>
      <c r="F528" s="36"/>
      <c r="G528" s="37"/>
      <c r="H528" s="37"/>
      <c r="I528" s="37"/>
      <c r="J528" s="37"/>
      <c r="K528" s="37"/>
      <c r="L528" s="37"/>
      <c r="M528" s="37"/>
      <c r="N528" s="29"/>
      <c r="O528" s="37"/>
      <c r="P528" s="29"/>
      <c r="Q528" s="37"/>
      <c r="R528" s="37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</row>
    <row r="529" spans="2:30">
      <c r="B529" s="29"/>
      <c r="C529" s="29"/>
      <c r="D529" s="36"/>
      <c r="E529" s="37"/>
      <c r="F529" s="36"/>
      <c r="G529" s="37"/>
      <c r="H529" s="37"/>
      <c r="I529" s="37"/>
      <c r="J529" s="37"/>
      <c r="K529" s="37"/>
      <c r="L529" s="37"/>
      <c r="M529" s="37"/>
      <c r="N529" s="29"/>
      <c r="O529" s="37"/>
      <c r="P529" s="29"/>
      <c r="Q529" s="37"/>
      <c r="R529" s="37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</row>
    <row r="530" spans="2:30">
      <c r="B530" s="29"/>
      <c r="C530" s="29"/>
      <c r="D530" s="36"/>
      <c r="E530" s="37"/>
      <c r="F530" s="36"/>
      <c r="G530" s="37"/>
      <c r="H530" s="37"/>
      <c r="I530" s="37"/>
      <c r="J530" s="37"/>
      <c r="K530" s="37"/>
      <c r="L530" s="37"/>
      <c r="M530" s="37"/>
      <c r="N530" s="29"/>
      <c r="O530" s="37"/>
      <c r="P530" s="29"/>
      <c r="Q530" s="37"/>
      <c r="R530" s="37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</row>
    <row r="531" spans="2:30">
      <c r="B531" s="29"/>
      <c r="C531" s="29"/>
      <c r="D531" s="36"/>
      <c r="E531" s="37"/>
      <c r="F531" s="36"/>
      <c r="G531" s="37"/>
      <c r="H531" s="37"/>
      <c r="I531" s="37"/>
      <c r="J531" s="37"/>
      <c r="K531" s="37"/>
      <c r="L531" s="37"/>
      <c r="M531" s="37"/>
      <c r="N531" s="29"/>
      <c r="O531" s="37"/>
      <c r="P531" s="29"/>
      <c r="Q531" s="37"/>
      <c r="R531" s="37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</row>
    <row r="532" spans="2:30">
      <c r="B532" s="29"/>
      <c r="C532" s="29"/>
      <c r="D532" s="36"/>
      <c r="E532" s="37"/>
      <c r="F532" s="36"/>
      <c r="G532" s="37"/>
      <c r="H532" s="37"/>
      <c r="I532" s="37"/>
      <c r="J532" s="37"/>
      <c r="K532" s="37"/>
      <c r="L532" s="37"/>
      <c r="M532" s="37"/>
      <c r="N532" s="29"/>
      <c r="O532" s="37"/>
      <c r="P532" s="29"/>
      <c r="Q532" s="37"/>
      <c r="R532" s="37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</row>
    <row r="533" spans="2:30">
      <c r="B533" s="29"/>
      <c r="C533" s="29"/>
      <c r="D533" s="36"/>
      <c r="E533" s="37"/>
      <c r="F533" s="36"/>
      <c r="G533" s="37"/>
      <c r="H533" s="37"/>
      <c r="I533" s="37"/>
      <c r="J533" s="37"/>
      <c r="K533" s="37"/>
      <c r="L533" s="37"/>
      <c r="M533" s="37"/>
      <c r="N533" s="29"/>
      <c r="O533" s="37"/>
      <c r="P533" s="29"/>
      <c r="Q533" s="37"/>
      <c r="R533" s="37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</row>
    <row r="534" spans="2:30">
      <c r="B534" s="29"/>
      <c r="C534" s="29"/>
      <c r="D534" s="36"/>
      <c r="E534" s="37"/>
      <c r="F534" s="36"/>
      <c r="G534" s="37"/>
      <c r="H534" s="37"/>
      <c r="I534" s="37"/>
      <c r="J534" s="37"/>
      <c r="K534" s="37"/>
      <c r="L534" s="37"/>
      <c r="M534" s="37"/>
      <c r="N534" s="29"/>
      <c r="O534" s="37"/>
      <c r="P534" s="29"/>
      <c r="Q534" s="37"/>
      <c r="R534" s="37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</row>
    <row r="535" spans="2:30">
      <c r="B535" s="29"/>
      <c r="C535" s="29"/>
      <c r="D535" s="36"/>
      <c r="E535" s="37"/>
      <c r="F535" s="36"/>
      <c r="G535" s="37"/>
      <c r="H535" s="37"/>
      <c r="I535" s="37"/>
      <c r="J535" s="37"/>
      <c r="K535" s="37"/>
      <c r="L535" s="37"/>
      <c r="M535" s="37"/>
      <c r="N535" s="29"/>
      <c r="O535" s="37"/>
      <c r="P535" s="29"/>
      <c r="Q535" s="37"/>
      <c r="R535" s="37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</row>
    <row r="536" spans="2:30">
      <c r="B536" s="29"/>
      <c r="C536" s="29"/>
      <c r="D536" s="36"/>
      <c r="E536" s="37"/>
      <c r="F536" s="36"/>
      <c r="G536" s="37"/>
      <c r="H536" s="37"/>
      <c r="I536" s="37"/>
      <c r="J536" s="37"/>
      <c r="K536" s="37"/>
      <c r="L536" s="37"/>
      <c r="M536" s="37"/>
      <c r="N536" s="29"/>
      <c r="O536" s="37"/>
      <c r="P536" s="29"/>
      <c r="Q536" s="37"/>
      <c r="R536" s="37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</row>
    <row r="537" spans="2:30">
      <c r="B537" s="29"/>
      <c r="C537" s="29"/>
      <c r="D537" s="36"/>
      <c r="E537" s="37"/>
      <c r="F537" s="36"/>
      <c r="G537" s="37"/>
      <c r="H537" s="37"/>
      <c r="I537" s="37"/>
      <c r="J537" s="37"/>
      <c r="K537" s="37"/>
      <c r="L537" s="37"/>
      <c r="M537" s="37"/>
      <c r="N537" s="29"/>
      <c r="O537" s="37"/>
      <c r="P537" s="29"/>
      <c r="Q537" s="37"/>
      <c r="R537" s="37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</row>
    <row r="538" spans="2:30">
      <c r="B538" s="29"/>
      <c r="C538" s="29"/>
      <c r="D538" s="36"/>
      <c r="E538" s="37"/>
      <c r="F538" s="36"/>
      <c r="G538" s="37"/>
      <c r="H538" s="37"/>
      <c r="I538" s="37"/>
      <c r="J538" s="37"/>
      <c r="K538" s="37"/>
      <c r="L538" s="37"/>
      <c r="M538" s="37"/>
      <c r="N538" s="29"/>
      <c r="O538" s="37"/>
      <c r="P538" s="29"/>
      <c r="Q538" s="37"/>
      <c r="R538" s="37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</row>
    <row r="539" spans="2:30">
      <c r="B539" s="29"/>
      <c r="C539" s="29"/>
      <c r="D539" s="36"/>
      <c r="E539" s="37"/>
      <c r="F539" s="36"/>
      <c r="G539" s="37"/>
      <c r="H539" s="37"/>
      <c r="I539" s="37"/>
      <c r="J539" s="37"/>
      <c r="K539" s="37"/>
      <c r="L539" s="37"/>
      <c r="M539" s="37"/>
      <c r="N539" s="29"/>
      <c r="O539" s="37"/>
      <c r="P539" s="29"/>
      <c r="Q539" s="37"/>
      <c r="R539" s="37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</row>
    <row r="540" spans="2:30">
      <c r="B540" s="29"/>
      <c r="C540" s="29"/>
      <c r="D540" s="36"/>
      <c r="E540" s="37"/>
      <c r="F540" s="36"/>
      <c r="G540" s="37"/>
      <c r="H540" s="37"/>
      <c r="I540" s="37"/>
      <c r="J540" s="37"/>
      <c r="K540" s="37"/>
      <c r="L540" s="37"/>
      <c r="M540" s="37"/>
      <c r="N540" s="29"/>
      <c r="O540" s="37"/>
      <c r="P540" s="29"/>
      <c r="Q540" s="37"/>
      <c r="R540" s="37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</row>
    <row r="541" spans="2:30">
      <c r="B541" s="29"/>
      <c r="C541" s="29"/>
      <c r="D541" s="36"/>
      <c r="E541" s="37"/>
      <c r="F541" s="36"/>
      <c r="G541" s="37"/>
      <c r="H541" s="37"/>
      <c r="I541" s="37"/>
      <c r="J541" s="37"/>
      <c r="K541" s="37"/>
      <c r="L541" s="37"/>
      <c r="M541" s="37"/>
      <c r="N541" s="29"/>
      <c r="O541" s="37"/>
      <c r="P541" s="29"/>
      <c r="Q541" s="37"/>
      <c r="R541" s="37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</row>
    <row r="542" spans="2:30">
      <c r="B542" s="29"/>
      <c r="C542" s="29"/>
      <c r="D542" s="36"/>
      <c r="E542" s="37"/>
      <c r="F542" s="36"/>
      <c r="G542" s="37"/>
      <c r="H542" s="37"/>
      <c r="I542" s="37"/>
      <c r="J542" s="37"/>
      <c r="K542" s="37"/>
      <c r="L542" s="37"/>
      <c r="M542" s="37"/>
      <c r="N542" s="29"/>
      <c r="O542" s="37"/>
      <c r="P542" s="29"/>
      <c r="Q542" s="37"/>
      <c r="R542" s="37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</row>
    <row r="543" spans="2:30">
      <c r="B543" s="29"/>
      <c r="C543" s="29"/>
      <c r="D543" s="36"/>
      <c r="E543" s="37"/>
      <c r="F543" s="36"/>
      <c r="G543" s="37"/>
      <c r="H543" s="37"/>
      <c r="I543" s="37"/>
      <c r="J543" s="37"/>
      <c r="K543" s="37"/>
      <c r="L543" s="37"/>
      <c r="M543" s="37"/>
      <c r="N543" s="29"/>
      <c r="O543" s="37"/>
      <c r="P543" s="29"/>
      <c r="Q543" s="37"/>
      <c r="R543" s="37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</row>
    <row r="544" spans="2:30">
      <c r="B544" s="29"/>
      <c r="C544" s="29"/>
      <c r="D544" s="36"/>
      <c r="E544" s="37"/>
      <c r="F544" s="36"/>
      <c r="G544" s="37"/>
      <c r="H544" s="37"/>
      <c r="I544" s="37"/>
      <c r="J544" s="37"/>
      <c r="K544" s="37"/>
      <c r="L544" s="37"/>
      <c r="M544" s="37"/>
      <c r="N544" s="29"/>
      <c r="O544" s="37"/>
      <c r="P544" s="29"/>
      <c r="Q544" s="37"/>
      <c r="R544" s="37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</row>
    <row r="545" spans="2:30">
      <c r="B545" s="29"/>
      <c r="C545" s="29"/>
      <c r="D545" s="36"/>
      <c r="E545" s="37"/>
      <c r="F545" s="36"/>
      <c r="G545" s="37"/>
      <c r="H545" s="37"/>
      <c r="I545" s="37"/>
      <c r="J545" s="37"/>
      <c r="K545" s="37"/>
      <c r="L545" s="37"/>
      <c r="M545" s="37"/>
      <c r="N545" s="29"/>
      <c r="O545" s="37"/>
      <c r="P545" s="29"/>
      <c r="Q545" s="37"/>
      <c r="R545" s="37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</row>
    <row r="546" spans="2:30">
      <c r="B546" s="29"/>
      <c r="C546" s="29"/>
      <c r="D546" s="36"/>
      <c r="E546" s="37"/>
      <c r="F546" s="36"/>
      <c r="G546" s="37"/>
      <c r="H546" s="37"/>
      <c r="I546" s="37"/>
      <c r="J546" s="37"/>
      <c r="K546" s="37"/>
      <c r="L546" s="37"/>
      <c r="M546" s="37"/>
      <c r="N546" s="29"/>
      <c r="O546" s="37"/>
      <c r="P546" s="29"/>
      <c r="Q546" s="37"/>
      <c r="R546" s="37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</row>
    <row r="547" spans="2:30">
      <c r="B547" s="29"/>
      <c r="C547" s="29"/>
      <c r="D547" s="36"/>
      <c r="E547" s="37"/>
      <c r="F547" s="36"/>
      <c r="G547" s="37"/>
      <c r="H547" s="37"/>
      <c r="I547" s="37"/>
      <c r="J547" s="37"/>
      <c r="K547" s="37"/>
      <c r="L547" s="37"/>
      <c r="M547" s="37"/>
      <c r="N547" s="29"/>
      <c r="O547" s="37"/>
      <c r="P547" s="29"/>
      <c r="Q547" s="37"/>
      <c r="R547" s="37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</row>
    <row r="548" spans="2:30">
      <c r="B548" s="29"/>
      <c r="C548" s="29"/>
      <c r="D548" s="36"/>
      <c r="E548" s="37"/>
      <c r="F548" s="36"/>
      <c r="G548" s="37"/>
      <c r="H548" s="37"/>
      <c r="I548" s="37"/>
      <c r="J548" s="37"/>
      <c r="K548" s="37"/>
      <c r="L548" s="37"/>
      <c r="M548" s="37"/>
      <c r="N548" s="29"/>
      <c r="O548" s="37"/>
      <c r="P548" s="29"/>
      <c r="Q548" s="37"/>
      <c r="R548" s="37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</row>
    <row r="549" spans="2:30">
      <c r="B549" s="29"/>
      <c r="C549" s="29"/>
      <c r="D549" s="36"/>
      <c r="E549" s="37"/>
      <c r="F549" s="36"/>
      <c r="G549" s="37"/>
      <c r="H549" s="37"/>
      <c r="I549" s="37"/>
      <c r="J549" s="37"/>
      <c r="K549" s="37"/>
      <c r="L549" s="37"/>
      <c r="M549" s="37"/>
      <c r="N549" s="29"/>
      <c r="O549" s="37"/>
      <c r="P549" s="29"/>
      <c r="Q549" s="37"/>
      <c r="R549" s="37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</row>
    <row r="550" spans="2:30">
      <c r="B550" s="29"/>
      <c r="C550" s="29"/>
      <c r="D550" s="36"/>
      <c r="E550" s="37"/>
      <c r="F550" s="36"/>
      <c r="G550" s="37"/>
      <c r="H550" s="37"/>
      <c r="I550" s="37"/>
      <c r="J550" s="37"/>
      <c r="K550" s="37"/>
      <c r="L550" s="37"/>
      <c r="M550" s="37"/>
      <c r="N550" s="29"/>
      <c r="O550" s="37"/>
      <c r="P550" s="29"/>
      <c r="Q550" s="37"/>
      <c r="R550" s="37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</row>
    <row r="551" spans="2:30">
      <c r="B551" s="29"/>
      <c r="C551" s="29"/>
      <c r="D551" s="36"/>
      <c r="E551" s="37"/>
      <c r="F551" s="36"/>
      <c r="G551" s="37"/>
      <c r="H551" s="37"/>
      <c r="I551" s="37"/>
      <c r="J551" s="37"/>
      <c r="K551" s="37"/>
      <c r="L551" s="37"/>
      <c r="M551" s="37"/>
      <c r="N551" s="29"/>
      <c r="O551" s="37"/>
      <c r="P551" s="29"/>
      <c r="Q551" s="37"/>
      <c r="R551" s="37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</row>
    <row r="552" spans="2:30">
      <c r="B552" s="29"/>
      <c r="C552" s="29"/>
      <c r="D552" s="36"/>
      <c r="E552" s="37"/>
      <c r="F552" s="36"/>
      <c r="G552" s="37"/>
      <c r="H552" s="37"/>
      <c r="I552" s="37"/>
      <c r="J552" s="37"/>
      <c r="K552" s="37"/>
      <c r="L552" s="37"/>
      <c r="M552" s="37"/>
      <c r="N552" s="29"/>
      <c r="O552" s="37"/>
      <c r="P552" s="29"/>
      <c r="Q552" s="37"/>
      <c r="R552" s="37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</row>
    <row r="553" spans="2:30">
      <c r="B553" s="29"/>
      <c r="C553" s="29"/>
      <c r="D553" s="36"/>
      <c r="E553" s="37"/>
      <c r="F553" s="36"/>
      <c r="G553" s="37"/>
      <c r="H553" s="37"/>
      <c r="I553" s="37"/>
      <c r="J553" s="37"/>
      <c r="K553" s="37"/>
      <c r="L553" s="37"/>
      <c r="M553" s="37"/>
      <c r="N553" s="29"/>
      <c r="O553" s="37"/>
      <c r="P553" s="29"/>
      <c r="Q553" s="37"/>
      <c r="R553" s="37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</row>
    <row r="554" spans="2:30">
      <c r="B554" s="29"/>
      <c r="C554" s="29"/>
      <c r="D554" s="36"/>
      <c r="E554" s="37"/>
      <c r="F554" s="36"/>
      <c r="G554" s="37"/>
      <c r="H554" s="37"/>
      <c r="I554" s="37"/>
      <c r="J554" s="37"/>
      <c r="K554" s="37"/>
      <c r="L554" s="37"/>
      <c r="M554" s="37"/>
      <c r="N554" s="29"/>
      <c r="O554" s="37"/>
      <c r="P554" s="29"/>
      <c r="Q554" s="37"/>
      <c r="R554" s="37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</row>
    <row r="555" spans="2:30">
      <c r="B555" s="29"/>
      <c r="C555" s="29"/>
      <c r="D555" s="36"/>
      <c r="E555" s="37"/>
      <c r="F555" s="36"/>
      <c r="G555" s="37"/>
      <c r="H555" s="37"/>
      <c r="I555" s="37"/>
      <c r="J555" s="37"/>
      <c r="K555" s="37"/>
      <c r="L555" s="37"/>
      <c r="M555" s="37"/>
      <c r="N555" s="29"/>
      <c r="O555" s="37"/>
      <c r="P555" s="29"/>
      <c r="Q555" s="37"/>
      <c r="R555" s="37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</row>
    <row r="556" spans="2:30">
      <c r="B556" s="29"/>
      <c r="C556" s="29"/>
      <c r="D556" s="36"/>
      <c r="E556" s="37"/>
      <c r="F556" s="36"/>
      <c r="G556" s="37"/>
      <c r="H556" s="37"/>
      <c r="I556" s="37"/>
      <c r="J556" s="37"/>
      <c r="K556" s="37"/>
      <c r="L556" s="37"/>
      <c r="M556" s="37"/>
      <c r="N556" s="29"/>
      <c r="O556" s="37"/>
      <c r="P556" s="29"/>
      <c r="Q556" s="37"/>
      <c r="R556" s="37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</row>
    <row r="557" spans="2:30">
      <c r="B557" s="29"/>
      <c r="C557" s="29"/>
      <c r="D557" s="36"/>
      <c r="E557" s="37"/>
      <c r="F557" s="36"/>
      <c r="G557" s="37"/>
      <c r="H557" s="37"/>
      <c r="I557" s="37"/>
      <c r="J557" s="37"/>
      <c r="K557" s="37"/>
      <c r="L557" s="37"/>
      <c r="M557" s="37"/>
      <c r="N557" s="29"/>
      <c r="O557" s="37"/>
      <c r="P557" s="29"/>
      <c r="Q557" s="37"/>
      <c r="R557" s="37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</row>
    <row r="558" spans="2:30">
      <c r="B558" s="29"/>
      <c r="C558" s="29"/>
      <c r="D558" s="36"/>
      <c r="E558" s="37"/>
      <c r="F558" s="36"/>
      <c r="G558" s="37"/>
      <c r="H558" s="37"/>
      <c r="I558" s="37"/>
      <c r="J558" s="37"/>
      <c r="K558" s="37"/>
      <c r="L558" s="37"/>
      <c r="M558" s="37"/>
      <c r="N558" s="29"/>
      <c r="O558" s="37"/>
      <c r="P558" s="29"/>
      <c r="Q558" s="37"/>
      <c r="R558" s="37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</row>
    <row r="559" spans="2:30">
      <c r="B559" s="29"/>
      <c r="C559" s="29"/>
      <c r="D559" s="36"/>
      <c r="E559" s="37"/>
      <c r="F559" s="36"/>
      <c r="G559" s="37"/>
      <c r="H559" s="37"/>
      <c r="I559" s="37"/>
      <c r="J559" s="37"/>
      <c r="K559" s="37"/>
      <c r="L559" s="37"/>
      <c r="M559" s="37"/>
      <c r="N559" s="29"/>
      <c r="O559" s="37"/>
      <c r="P559" s="29"/>
      <c r="Q559" s="37"/>
      <c r="R559" s="37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</row>
    <row r="560" spans="2:30">
      <c r="B560" s="29"/>
      <c r="C560" s="29"/>
      <c r="D560" s="36"/>
      <c r="E560" s="37"/>
      <c r="F560" s="36"/>
      <c r="G560" s="37"/>
      <c r="H560" s="37"/>
      <c r="I560" s="37"/>
      <c r="J560" s="37"/>
      <c r="K560" s="37"/>
      <c r="L560" s="37"/>
      <c r="M560" s="37"/>
      <c r="N560" s="29"/>
      <c r="O560" s="37"/>
      <c r="P560" s="29"/>
      <c r="Q560" s="37"/>
      <c r="R560" s="37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</row>
    <row r="561" spans="2:30">
      <c r="B561" s="29"/>
      <c r="C561" s="29"/>
      <c r="D561" s="36"/>
      <c r="E561" s="37"/>
      <c r="F561" s="36"/>
      <c r="G561" s="37"/>
      <c r="H561" s="37"/>
      <c r="I561" s="37"/>
      <c r="J561" s="37"/>
      <c r="K561" s="37"/>
      <c r="L561" s="37"/>
      <c r="M561" s="37"/>
      <c r="N561" s="29"/>
      <c r="O561" s="37"/>
      <c r="P561" s="29"/>
      <c r="Q561" s="37"/>
      <c r="R561" s="37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</row>
    <row r="562" spans="2:30">
      <c r="B562" s="29"/>
      <c r="C562" s="29"/>
      <c r="D562" s="36"/>
      <c r="E562" s="37"/>
      <c r="F562" s="36"/>
      <c r="G562" s="37"/>
      <c r="H562" s="37"/>
      <c r="I562" s="37"/>
      <c r="J562" s="37"/>
      <c r="K562" s="37"/>
      <c r="L562" s="37"/>
      <c r="M562" s="37"/>
      <c r="N562" s="29"/>
      <c r="O562" s="37"/>
      <c r="P562" s="29"/>
      <c r="Q562" s="37"/>
      <c r="R562" s="37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</row>
    <row r="563" spans="2:30">
      <c r="B563" s="29"/>
      <c r="C563" s="29"/>
      <c r="D563" s="36"/>
      <c r="E563" s="37"/>
      <c r="F563" s="36"/>
      <c r="G563" s="37"/>
      <c r="H563" s="37"/>
      <c r="I563" s="37"/>
      <c r="J563" s="37"/>
      <c r="K563" s="37"/>
      <c r="L563" s="37"/>
      <c r="M563" s="37"/>
      <c r="N563" s="29"/>
      <c r="O563" s="37"/>
      <c r="P563" s="29"/>
      <c r="Q563" s="37"/>
      <c r="R563" s="37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</row>
    <row r="564" spans="2:30">
      <c r="B564" s="29"/>
      <c r="C564" s="29"/>
      <c r="D564" s="36"/>
      <c r="E564" s="37"/>
      <c r="F564" s="36"/>
      <c r="G564" s="37"/>
      <c r="H564" s="37"/>
      <c r="I564" s="37"/>
      <c r="J564" s="37"/>
      <c r="K564" s="37"/>
      <c r="L564" s="37"/>
      <c r="M564" s="37"/>
      <c r="N564" s="29"/>
      <c r="O564" s="37"/>
      <c r="P564" s="29"/>
      <c r="Q564" s="37"/>
      <c r="R564" s="37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</row>
    <row r="565" spans="2:30">
      <c r="B565" s="29"/>
      <c r="C565" s="29"/>
      <c r="D565" s="36"/>
      <c r="E565" s="37"/>
      <c r="F565" s="36"/>
      <c r="G565" s="37"/>
      <c r="H565" s="37"/>
      <c r="I565" s="37"/>
      <c r="J565" s="37"/>
      <c r="K565" s="37"/>
      <c r="L565" s="37"/>
      <c r="M565" s="37"/>
      <c r="N565" s="29"/>
      <c r="O565" s="37"/>
      <c r="P565" s="29"/>
      <c r="Q565" s="37"/>
      <c r="R565" s="37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</row>
    <row r="566" spans="2:30">
      <c r="B566" s="29"/>
      <c r="C566" s="29"/>
      <c r="D566" s="36"/>
      <c r="E566" s="37"/>
      <c r="F566" s="36"/>
      <c r="G566" s="37"/>
      <c r="H566" s="37"/>
      <c r="I566" s="37"/>
      <c r="J566" s="37"/>
      <c r="K566" s="37"/>
      <c r="L566" s="37"/>
      <c r="M566" s="37"/>
      <c r="N566" s="29"/>
      <c r="O566" s="37"/>
      <c r="P566" s="29"/>
      <c r="Q566" s="37"/>
      <c r="R566" s="37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</row>
    <row r="567" spans="2:30">
      <c r="B567" s="29"/>
      <c r="C567" s="29"/>
      <c r="D567" s="36"/>
      <c r="E567" s="37"/>
      <c r="F567" s="36"/>
      <c r="G567" s="37"/>
      <c r="H567" s="37"/>
      <c r="I567" s="37"/>
      <c r="J567" s="37"/>
      <c r="K567" s="37"/>
      <c r="L567" s="37"/>
      <c r="M567" s="37"/>
      <c r="N567" s="29"/>
      <c r="O567" s="37"/>
      <c r="P567" s="29"/>
      <c r="Q567" s="37"/>
      <c r="R567" s="37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</row>
    <row r="568" spans="2:30">
      <c r="B568" s="29"/>
      <c r="C568" s="29"/>
      <c r="D568" s="36"/>
      <c r="E568" s="37"/>
      <c r="F568" s="36"/>
      <c r="G568" s="37"/>
      <c r="H568" s="37"/>
      <c r="I568" s="37"/>
      <c r="J568" s="37"/>
      <c r="K568" s="37"/>
      <c r="L568" s="37"/>
      <c r="M568" s="37"/>
      <c r="N568" s="29"/>
      <c r="O568" s="37"/>
      <c r="P568" s="29"/>
      <c r="Q568" s="37"/>
      <c r="R568" s="37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</row>
    <row r="569" spans="2:30">
      <c r="B569" s="29"/>
      <c r="C569" s="29"/>
      <c r="D569" s="36"/>
      <c r="E569" s="37"/>
      <c r="F569" s="36"/>
      <c r="G569" s="37"/>
      <c r="H569" s="37"/>
      <c r="I569" s="37"/>
      <c r="J569" s="37"/>
      <c r="K569" s="37"/>
      <c r="L569" s="37"/>
      <c r="M569" s="37"/>
      <c r="N569" s="29"/>
      <c r="O569" s="37"/>
      <c r="P569" s="29"/>
      <c r="Q569" s="37"/>
      <c r="R569" s="37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</row>
    <row r="570" spans="2:30">
      <c r="B570" s="29"/>
      <c r="C570" s="29"/>
      <c r="D570" s="36"/>
      <c r="E570" s="37"/>
      <c r="F570" s="36"/>
      <c r="G570" s="37"/>
      <c r="H570" s="37"/>
      <c r="I570" s="37"/>
      <c r="J570" s="37"/>
      <c r="K570" s="37"/>
      <c r="L570" s="37"/>
      <c r="M570" s="37"/>
      <c r="N570" s="29"/>
      <c r="O570" s="37"/>
      <c r="P570" s="29"/>
      <c r="Q570" s="37"/>
      <c r="R570" s="37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</row>
    <row r="571" spans="2:30">
      <c r="B571" s="29"/>
      <c r="C571" s="29"/>
      <c r="D571" s="36"/>
      <c r="E571" s="37"/>
      <c r="F571" s="36"/>
      <c r="G571" s="37"/>
      <c r="H571" s="37"/>
      <c r="I571" s="37"/>
      <c r="J571" s="37"/>
      <c r="K571" s="37"/>
      <c r="L571" s="37"/>
      <c r="M571" s="37"/>
      <c r="N571" s="29"/>
      <c r="O571" s="37"/>
      <c r="P571" s="29"/>
      <c r="Q571" s="37"/>
      <c r="R571" s="37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</row>
    <row r="572" spans="2:30">
      <c r="B572" s="29"/>
      <c r="C572" s="29"/>
      <c r="D572" s="36"/>
      <c r="E572" s="37"/>
      <c r="F572" s="36"/>
      <c r="G572" s="37"/>
      <c r="H572" s="37"/>
      <c r="I572" s="37"/>
      <c r="J572" s="37"/>
      <c r="K572" s="37"/>
      <c r="L572" s="37"/>
      <c r="M572" s="37"/>
      <c r="N572" s="29"/>
      <c r="O572" s="37"/>
      <c r="P572" s="29"/>
      <c r="Q572" s="37"/>
      <c r="R572" s="37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</row>
    <row r="573" spans="2:30">
      <c r="B573" s="29"/>
      <c r="C573" s="29"/>
      <c r="D573" s="36"/>
      <c r="E573" s="37"/>
      <c r="F573" s="36"/>
      <c r="G573" s="37"/>
      <c r="H573" s="37"/>
      <c r="I573" s="37"/>
      <c r="J573" s="37"/>
      <c r="K573" s="37"/>
      <c r="L573" s="37"/>
      <c r="M573" s="37"/>
      <c r="N573" s="29"/>
      <c r="O573" s="37"/>
      <c r="P573" s="29"/>
      <c r="Q573" s="37"/>
      <c r="R573" s="37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</row>
    <row r="574" spans="2:30">
      <c r="B574" s="29"/>
      <c r="C574" s="29"/>
      <c r="D574" s="36"/>
      <c r="E574" s="37"/>
      <c r="F574" s="36"/>
      <c r="G574" s="37"/>
      <c r="H574" s="37"/>
      <c r="I574" s="37"/>
      <c r="J574" s="37"/>
      <c r="K574" s="37"/>
      <c r="L574" s="37"/>
      <c r="M574" s="37"/>
      <c r="N574" s="29"/>
      <c r="O574" s="37"/>
      <c r="P574" s="29"/>
      <c r="Q574" s="37"/>
      <c r="R574" s="37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</row>
    <row r="575" spans="2:30">
      <c r="B575" s="29"/>
      <c r="C575" s="29"/>
      <c r="D575" s="36"/>
      <c r="E575" s="37"/>
      <c r="F575" s="36"/>
      <c r="G575" s="37"/>
      <c r="H575" s="37"/>
      <c r="I575" s="37"/>
      <c r="J575" s="37"/>
      <c r="K575" s="37"/>
      <c r="L575" s="37"/>
      <c r="M575" s="37"/>
      <c r="N575" s="29"/>
      <c r="O575" s="37"/>
      <c r="P575" s="29"/>
      <c r="Q575" s="37"/>
      <c r="R575" s="37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</row>
    <row r="576" spans="2:30">
      <c r="B576" s="29"/>
      <c r="C576" s="29"/>
      <c r="D576" s="36"/>
      <c r="E576" s="37"/>
      <c r="F576" s="36"/>
      <c r="G576" s="37"/>
      <c r="H576" s="37"/>
      <c r="I576" s="37"/>
      <c r="J576" s="37"/>
      <c r="K576" s="37"/>
      <c r="L576" s="37"/>
      <c r="M576" s="37"/>
      <c r="N576" s="29"/>
      <c r="O576" s="37"/>
      <c r="P576" s="29"/>
      <c r="Q576" s="37"/>
      <c r="R576" s="37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</row>
    <row r="577" spans="2:30">
      <c r="B577" s="29"/>
      <c r="C577" s="29"/>
      <c r="D577" s="36"/>
      <c r="E577" s="37"/>
      <c r="F577" s="36"/>
      <c r="G577" s="37"/>
      <c r="H577" s="37"/>
      <c r="I577" s="37"/>
      <c r="J577" s="37"/>
      <c r="K577" s="37"/>
      <c r="L577" s="37"/>
      <c r="M577" s="37"/>
      <c r="N577" s="29"/>
      <c r="O577" s="37"/>
      <c r="P577" s="29"/>
      <c r="Q577" s="37"/>
      <c r="R577" s="37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</row>
    <row r="578" spans="2:30">
      <c r="B578" s="29"/>
      <c r="C578" s="29"/>
      <c r="D578" s="36"/>
      <c r="E578" s="37"/>
      <c r="F578" s="36"/>
      <c r="G578" s="37"/>
      <c r="H578" s="37"/>
      <c r="I578" s="37"/>
      <c r="J578" s="37"/>
      <c r="K578" s="37"/>
      <c r="L578" s="37"/>
      <c r="M578" s="37"/>
      <c r="N578" s="29"/>
      <c r="O578" s="37"/>
      <c r="P578" s="29"/>
      <c r="Q578" s="37"/>
      <c r="R578" s="37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</row>
    <row r="579" spans="2:30">
      <c r="B579" s="29"/>
      <c r="C579" s="29"/>
      <c r="D579" s="36"/>
      <c r="E579" s="37"/>
      <c r="F579" s="36"/>
      <c r="G579" s="37"/>
      <c r="H579" s="37"/>
      <c r="I579" s="37"/>
      <c r="J579" s="37"/>
      <c r="K579" s="37"/>
      <c r="L579" s="37"/>
      <c r="M579" s="37"/>
      <c r="N579" s="29"/>
      <c r="O579" s="37"/>
      <c r="P579" s="29"/>
      <c r="Q579" s="37"/>
      <c r="R579" s="37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</row>
    <row r="580" spans="2:30">
      <c r="B580" s="29"/>
      <c r="C580" s="29"/>
      <c r="D580" s="36"/>
      <c r="E580" s="37"/>
      <c r="F580" s="36"/>
      <c r="G580" s="37"/>
      <c r="H580" s="37"/>
      <c r="I580" s="37"/>
      <c r="J580" s="37"/>
      <c r="K580" s="37"/>
      <c r="L580" s="37"/>
      <c r="M580" s="37"/>
      <c r="N580" s="29"/>
      <c r="O580" s="37"/>
      <c r="P580" s="29"/>
      <c r="Q580" s="37"/>
      <c r="R580" s="37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</row>
    <row r="581" spans="2:30">
      <c r="B581" s="29"/>
      <c r="C581" s="29"/>
      <c r="D581" s="36"/>
      <c r="E581" s="37"/>
      <c r="F581" s="36"/>
      <c r="G581" s="37"/>
      <c r="H581" s="37"/>
      <c r="I581" s="37"/>
      <c r="J581" s="37"/>
      <c r="K581" s="37"/>
      <c r="L581" s="37"/>
      <c r="M581" s="37"/>
      <c r="N581" s="29"/>
      <c r="O581" s="37"/>
      <c r="P581" s="29"/>
      <c r="Q581" s="37"/>
      <c r="R581" s="37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</row>
    <row r="582" spans="2:30">
      <c r="B582" s="29"/>
      <c r="C582" s="29"/>
      <c r="D582" s="36"/>
      <c r="E582" s="37"/>
      <c r="F582" s="36"/>
      <c r="G582" s="37"/>
      <c r="H582" s="37"/>
      <c r="I582" s="37"/>
      <c r="J582" s="37"/>
      <c r="K582" s="37"/>
      <c r="L582" s="37"/>
      <c r="M582" s="37"/>
      <c r="N582" s="29"/>
      <c r="O582" s="37"/>
      <c r="P582" s="29"/>
      <c r="Q582" s="37"/>
      <c r="R582" s="37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</row>
    <row r="583" spans="2:30">
      <c r="B583" s="29"/>
      <c r="C583" s="29"/>
      <c r="D583" s="36"/>
      <c r="E583" s="37"/>
      <c r="F583" s="36"/>
      <c r="G583" s="37"/>
      <c r="H583" s="37"/>
      <c r="I583" s="37"/>
      <c r="J583" s="37"/>
      <c r="K583" s="37"/>
      <c r="L583" s="37"/>
      <c r="M583" s="37"/>
      <c r="N583" s="29"/>
      <c r="O583" s="37"/>
      <c r="P583" s="29"/>
      <c r="Q583" s="37"/>
      <c r="R583" s="37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</row>
    <row r="584" spans="2:30">
      <c r="B584" s="29"/>
      <c r="C584" s="29"/>
      <c r="D584" s="36"/>
      <c r="E584" s="37"/>
      <c r="F584" s="36"/>
      <c r="G584" s="37"/>
      <c r="H584" s="37"/>
      <c r="I584" s="37"/>
      <c r="J584" s="37"/>
      <c r="K584" s="37"/>
      <c r="L584" s="37"/>
      <c r="M584" s="37"/>
      <c r="N584" s="29"/>
      <c r="O584" s="37"/>
      <c r="P584" s="29"/>
      <c r="Q584" s="37"/>
      <c r="R584" s="37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</row>
    <row r="585" spans="2:30">
      <c r="B585" s="29"/>
      <c r="C585" s="29"/>
      <c r="D585" s="36"/>
      <c r="E585" s="37"/>
      <c r="F585" s="36"/>
      <c r="G585" s="37"/>
      <c r="H585" s="37"/>
      <c r="I585" s="37"/>
      <c r="J585" s="37"/>
      <c r="K585" s="37"/>
      <c r="L585" s="37"/>
      <c r="M585" s="37"/>
      <c r="N585" s="29"/>
      <c r="O585" s="37"/>
      <c r="P585" s="29"/>
      <c r="Q585" s="37"/>
      <c r="R585" s="37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</row>
    <row r="586" spans="2:30">
      <c r="B586" s="29"/>
      <c r="C586" s="29"/>
      <c r="D586" s="36"/>
      <c r="E586" s="37"/>
      <c r="F586" s="36"/>
      <c r="G586" s="37"/>
      <c r="H586" s="37"/>
      <c r="I586" s="37"/>
      <c r="J586" s="37"/>
      <c r="K586" s="37"/>
      <c r="L586" s="37"/>
      <c r="M586" s="37"/>
      <c r="N586" s="29"/>
      <c r="O586" s="37"/>
      <c r="P586" s="29"/>
      <c r="Q586" s="37"/>
      <c r="R586" s="37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</row>
    <row r="587" spans="2:30">
      <c r="B587" s="29"/>
      <c r="C587" s="29"/>
      <c r="D587" s="36"/>
      <c r="E587" s="37"/>
      <c r="F587" s="36"/>
      <c r="G587" s="37"/>
      <c r="H587" s="37"/>
      <c r="I587" s="37"/>
      <c r="J587" s="37"/>
      <c r="K587" s="37"/>
      <c r="L587" s="37"/>
      <c r="M587" s="37"/>
      <c r="N587" s="29"/>
      <c r="O587" s="37"/>
      <c r="P587" s="29"/>
      <c r="Q587" s="37"/>
      <c r="R587" s="37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</row>
    <row r="588" spans="2:30">
      <c r="B588" s="29"/>
      <c r="C588" s="29"/>
      <c r="D588" s="36"/>
      <c r="E588" s="37"/>
      <c r="F588" s="36"/>
      <c r="G588" s="37"/>
      <c r="H588" s="37"/>
      <c r="I588" s="37"/>
      <c r="J588" s="37"/>
      <c r="K588" s="37"/>
      <c r="L588" s="37"/>
      <c r="M588" s="37"/>
      <c r="N588" s="29"/>
      <c r="O588" s="37"/>
      <c r="P588" s="29"/>
      <c r="Q588" s="37"/>
      <c r="R588" s="37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</row>
    <row r="589" spans="2:30">
      <c r="B589" s="29"/>
      <c r="C589" s="29"/>
      <c r="D589" s="36"/>
      <c r="E589" s="37"/>
      <c r="F589" s="36"/>
      <c r="G589" s="37"/>
      <c r="H589" s="37"/>
      <c r="I589" s="37"/>
      <c r="J589" s="37"/>
      <c r="K589" s="37"/>
      <c r="L589" s="37"/>
      <c r="M589" s="37"/>
      <c r="N589" s="29"/>
      <c r="O589" s="37"/>
      <c r="P589" s="29"/>
      <c r="Q589" s="37"/>
      <c r="R589" s="37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</row>
    <row r="590" spans="2:30">
      <c r="B590" s="29"/>
      <c r="C590" s="29"/>
      <c r="D590" s="36"/>
      <c r="E590" s="37"/>
      <c r="F590" s="36"/>
      <c r="G590" s="37"/>
      <c r="H590" s="37"/>
      <c r="I590" s="37"/>
      <c r="J590" s="37"/>
      <c r="K590" s="37"/>
      <c r="L590" s="37"/>
      <c r="M590" s="37"/>
      <c r="N590" s="29"/>
      <c r="O590" s="37"/>
      <c r="P590" s="29"/>
      <c r="Q590" s="37"/>
      <c r="R590" s="37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</row>
    <row r="591" spans="2:30">
      <c r="B591" s="29"/>
      <c r="C591" s="29"/>
      <c r="D591" s="36"/>
      <c r="E591" s="37"/>
      <c r="F591" s="36"/>
      <c r="G591" s="37"/>
      <c r="H591" s="37"/>
      <c r="I591" s="37"/>
      <c r="J591" s="37"/>
      <c r="K591" s="37"/>
      <c r="L591" s="37"/>
      <c r="M591" s="37"/>
      <c r="N591" s="29"/>
      <c r="O591" s="37"/>
      <c r="P591" s="29"/>
      <c r="Q591" s="37"/>
      <c r="R591" s="37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</row>
    <row r="592" spans="2:30">
      <c r="B592" s="29"/>
      <c r="C592" s="29"/>
      <c r="D592" s="36"/>
      <c r="E592" s="37"/>
      <c r="F592" s="36"/>
      <c r="G592" s="37"/>
      <c r="H592" s="37"/>
      <c r="I592" s="37"/>
      <c r="J592" s="37"/>
      <c r="K592" s="37"/>
      <c r="L592" s="37"/>
      <c r="M592" s="37"/>
      <c r="N592" s="29"/>
      <c r="O592" s="37"/>
      <c r="P592" s="29"/>
      <c r="Q592" s="37"/>
      <c r="R592" s="37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</row>
    <row r="593" spans="2:30">
      <c r="B593" s="29"/>
      <c r="C593" s="29"/>
      <c r="D593" s="36"/>
      <c r="E593" s="37"/>
      <c r="F593" s="36"/>
      <c r="G593" s="37"/>
      <c r="H593" s="37"/>
      <c r="I593" s="37"/>
      <c r="J593" s="37"/>
      <c r="K593" s="37"/>
      <c r="L593" s="37"/>
      <c r="M593" s="37"/>
      <c r="N593" s="29"/>
      <c r="O593" s="37"/>
      <c r="P593" s="29"/>
      <c r="Q593" s="37"/>
      <c r="R593" s="37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</row>
    <row r="594" spans="2:30">
      <c r="B594" s="29"/>
      <c r="C594" s="29"/>
      <c r="D594" s="36"/>
      <c r="E594" s="37"/>
      <c r="F594" s="36"/>
      <c r="G594" s="37"/>
      <c r="H594" s="37"/>
      <c r="I594" s="37"/>
      <c r="J594" s="37"/>
      <c r="K594" s="37"/>
      <c r="L594" s="37"/>
      <c r="M594" s="37"/>
      <c r="N594" s="29"/>
      <c r="O594" s="37"/>
      <c r="P594" s="29"/>
      <c r="Q594" s="37"/>
      <c r="R594" s="37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</row>
    <row r="595" spans="2:30">
      <c r="B595" s="29"/>
      <c r="C595" s="29"/>
      <c r="D595" s="36"/>
      <c r="E595" s="37"/>
      <c r="F595" s="36"/>
      <c r="G595" s="37"/>
      <c r="H595" s="37"/>
      <c r="I595" s="37"/>
      <c r="J595" s="37"/>
      <c r="K595" s="37"/>
      <c r="L595" s="37"/>
      <c r="M595" s="37"/>
      <c r="N595" s="29"/>
      <c r="O595" s="37"/>
      <c r="P595" s="29"/>
      <c r="Q595" s="37"/>
      <c r="R595" s="37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 spans="2:30">
      <c r="B596" s="29"/>
      <c r="C596" s="29"/>
      <c r="D596" s="36"/>
      <c r="E596" s="37"/>
      <c r="F596" s="36"/>
      <c r="G596" s="37"/>
      <c r="H596" s="37"/>
      <c r="I596" s="37"/>
      <c r="J596" s="37"/>
      <c r="K596" s="37"/>
      <c r="L596" s="37"/>
      <c r="M596" s="37"/>
      <c r="N596" s="29"/>
      <c r="O596" s="37"/>
      <c r="P596" s="29"/>
      <c r="Q596" s="37"/>
      <c r="R596" s="37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</row>
    <row r="597" spans="2:30">
      <c r="B597" s="29"/>
      <c r="C597" s="29"/>
      <c r="D597" s="36"/>
      <c r="E597" s="37"/>
      <c r="F597" s="36"/>
      <c r="G597" s="37"/>
      <c r="H597" s="37"/>
      <c r="I597" s="37"/>
      <c r="J597" s="37"/>
      <c r="K597" s="37"/>
      <c r="L597" s="37"/>
      <c r="M597" s="37"/>
      <c r="N597" s="29"/>
      <c r="O597" s="37"/>
      <c r="P597" s="29"/>
      <c r="Q597" s="37"/>
      <c r="R597" s="37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</row>
    <row r="598" spans="2:30">
      <c r="B598" s="29"/>
      <c r="C598" s="29"/>
      <c r="D598" s="36"/>
      <c r="E598" s="37"/>
      <c r="F598" s="36"/>
      <c r="G598" s="37"/>
      <c r="H598" s="37"/>
      <c r="I598" s="37"/>
      <c r="J598" s="37"/>
      <c r="K598" s="37"/>
      <c r="L598" s="37"/>
      <c r="M598" s="37"/>
      <c r="N598" s="29"/>
      <c r="O598" s="37"/>
      <c r="P598" s="29"/>
      <c r="Q598" s="37"/>
      <c r="R598" s="37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</row>
    <row r="599" spans="2:30">
      <c r="B599" s="29"/>
      <c r="C599" s="29"/>
      <c r="D599" s="36"/>
      <c r="E599" s="37"/>
      <c r="F599" s="36"/>
      <c r="G599" s="37"/>
      <c r="H599" s="37"/>
      <c r="I599" s="37"/>
      <c r="J599" s="37"/>
      <c r="K599" s="37"/>
      <c r="L599" s="37"/>
      <c r="M599" s="37"/>
      <c r="N599" s="29"/>
      <c r="O599" s="37"/>
      <c r="P599" s="29"/>
      <c r="Q599" s="37"/>
      <c r="R599" s="37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</row>
    <row r="600" spans="2:30">
      <c r="B600" s="29"/>
      <c r="C600" s="29"/>
      <c r="D600" s="36"/>
      <c r="E600" s="37"/>
      <c r="F600" s="36"/>
      <c r="G600" s="37"/>
      <c r="H600" s="37"/>
      <c r="I600" s="37"/>
      <c r="J600" s="37"/>
      <c r="K600" s="37"/>
      <c r="L600" s="37"/>
      <c r="M600" s="37"/>
      <c r="N600" s="29"/>
      <c r="O600" s="37"/>
      <c r="P600" s="29"/>
      <c r="Q600" s="37"/>
      <c r="R600" s="37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</row>
    <row r="601" spans="2:30">
      <c r="B601" s="29"/>
      <c r="C601" s="29"/>
      <c r="D601" s="36"/>
      <c r="E601" s="37"/>
      <c r="F601" s="36"/>
      <c r="G601" s="37"/>
      <c r="H601" s="37"/>
      <c r="I601" s="37"/>
      <c r="J601" s="37"/>
      <c r="K601" s="37"/>
      <c r="L601" s="37"/>
      <c r="M601" s="37"/>
      <c r="N601" s="29"/>
      <c r="O601" s="37"/>
      <c r="P601" s="29"/>
      <c r="Q601" s="37"/>
      <c r="R601" s="37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</row>
    <row r="602" spans="2:30">
      <c r="B602" s="29"/>
      <c r="C602" s="29"/>
      <c r="D602" s="36"/>
      <c r="E602" s="37"/>
      <c r="F602" s="36"/>
      <c r="G602" s="37"/>
      <c r="H602" s="37"/>
      <c r="I602" s="37"/>
      <c r="J602" s="37"/>
      <c r="K602" s="37"/>
      <c r="L602" s="37"/>
      <c r="M602" s="37"/>
      <c r="N602" s="29"/>
      <c r="O602" s="37"/>
      <c r="P602" s="29"/>
      <c r="Q602" s="37"/>
      <c r="R602" s="37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</row>
    <row r="603" spans="2:30">
      <c r="B603" s="29"/>
      <c r="C603" s="29"/>
      <c r="D603" s="36"/>
      <c r="E603" s="37"/>
      <c r="F603" s="36"/>
      <c r="G603" s="37"/>
      <c r="H603" s="37"/>
      <c r="I603" s="37"/>
      <c r="J603" s="37"/>
      <c r="K603" s="37"/>
      <c r="L603" s="37"/>
      <c r="M603" s="37"/>
      <c r="N603" s="29"/>
      <c r="O603" s="37"/>
      <c r="P603" s="29"/>
      <c r="Q603" s="37"/>
      <c r="R603" s="37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</row>
    <row r="604" spans="2:30">
      <c r="B604" s="29"/>
      <c r="C604" s="29"/>
      <c r="D604" s="36"/>
      <c r="E604" s="37"/>
      <c r="F604" s="36"/>
      <c r="G604" s="37"/>
      <c r="H604" s="37"/>
      <c r="I604" s="37"/>
      <c r="J604" s="37"/>
      <c r="K604" s="37"/>
      <c r="L604" s="37"/>
      <c r="M604" s="37"/>
      <c r="N604" s="29"/>
      <c r="O604" s="37"/>
      <c r="P604" s="29"/>
      <c r="Q604" s="37"/>
      <c r="R604" s="37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</row>
    <row r="605" spans="2:30">
      <c r="B605" s="29"/>
      <c r="C605" s="29"/>
      <c r="D605" s="36"/>
      <c r="E605" s="37"/>
      <c r="F605" s="36"/>
      <c r="G605" s="37"/>
      <c r="H605" s="37"/>
      <c r="I605" s="37"/>
      <c r="J605" s="37"/>
      <c r="K605" s="37"/>
      <c r="L605" s="37"/>
      <c r="M605" s="37"/>
      <c r="N605" s="29"/>
      <c r="O605" s="37"/>
      <c r="P605" s="29"/>
      <c r="Q605" s="37"/>
      <c r="R605" s="37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</row>
    <row r="606" spans="2:30">
      <c r="B606" s="29"/>
      <c r="C606" s="29"/>
      <c r="D606" s="36"/>
      <c r="E606" s="37"/>
      <c r="F606" s="36"/>
      <c r="G606" s="37"/>
      <c r="H606" s="37"/>
      <c r="I606" s="37"/>
      <c r="J606" s="37"/>
      <c r="K606" s="37"/>
      <c r="L606" s="37"/>
      <c r="M606" s="37"/>
      <c r="N606" s="29"/>
      <c r="O606" s="37"/>
      <c r="P606" s="29"/>
      <c r="Q606" s="37"/>
      <c r="R606" s="37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</row>
    <row r="607" spans="2:30">
      <c r="B607" s="29"/>
      <c r="C607" s="29"/>
      <c r="D607" s="36"/>
      <c r="E607" s="37"/>
      <c r="F607" s="36"/>
      <c r="G607" s="37"/>
      <c r="H607" s="37"/>
      <c r="I607" s="37"/>
      <c r="J607" s="37"/>
      <c r="K607" s="37"/>
      <c r="L607" s="37"/>
      <c r="M607" s="37"/>
      <c r="N607" s="29"/>
      <c r="O607" s="37"/>
      <c r="P607" s="29"/>
      <c r="Q607" s="37"/>
      <c r="R607" s="37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</row>
    <row r="608" spans="2:30">
      <c r="B608" s="29"/>
      <c r="C608" s="29"/>
      <c r="D608" s="36"/>
      <c r="E608" s="37"/>
      <c r="F608" s="36"/>
      <c r="G608" s="37"/>
      <c r="H608" s="37"/>
      <c r="I608" s="37"/>
      <c r="J608" s="37"/>
      <c r="K608" s="37"/>
      <c r="L608" s="37"/>
      <c r="M608" s="37"/>
      <c r="N608" s="29"/>
      <c r="O608" s="37"/>
      <c r="P608" s="29"/>
      <c r="Q608" s="37"/>
      <c r="R608" s="37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</row>
    <row r="609" spans="2:30">
      <c r="B609" s="29"/>
      <c r="C609" s="29"/>
      <c r="D609" s="36"/>
      <c r="E609" s="37"/>
      <c r="F609" s="36"/>
      <c r="G609" s="37"/>
      <c r="H609" s="37"/>
      <c r="I609" s="37"/>
      <c r="J609" s="37"/>
      <c r="K609" s="37"/>
      <c r="L609" s="37"/>
      <c r="M609" s="37"/>
      <c r="N609" s="29"/>
      <c r="O609" s="37"/>
      <c r="P609" s="29"/>
      <c r="Q609" s="37"/>
      <c r="R609" s="37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</row>
    <row r="610" spans="2:30">
      <c r="B610" s="29"/>
      <c r="C610" s="29"/>
      <c r="D610" s="36"/>
      <c r="E610" s="37"/>
      <c r="F610" s="36"/>
      <c r="G610" s="37"/>
      <c r="H610" s="37"/>
      <c r="I610" s="37"/>
      <c r="J610" s="37"/>
      <c r="K610" s="37"/>
      <c r="L610" s="37"/>
      <c r="M610" s="37"/>
      <c r="N610" s="29"/>
      <c r="O610" s="37"/>
      <c r="P610" s="29"/>
      <c r="Q610" s="37"/>
      <c r="R610" s="37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</row>
    <row r="611" spans="2:30">
      <c r="B611" s="29"/>
      <c r="C611" s="29"/>
      <c r="D611" s="36"/>
      <c r="E611" s="37"/>
      <c r="F611" s="36"/>
      <c r="G611" s="37"/>
      <c r="H611" s="37"/>
      <c r="I611" s="37"/>
      <c r="J611" s="37"/>
      <c r="K611" s="37"/>
      <c r="L611" s="37"/>
      <c r="M611" s="37"/>
      <c r="N611" s="29"/>
      <c r="O611" s="37"/>
      <c r="P611" s="29"/>
      <c r="Q611" s="37"/>
      <c r="R611" s="37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</row>
    <row r="612" spans="2:30">
      <c r="B612" s="29"/>
      <c r="C612" s="29"/>
      <c r="D612" s="36"/>
      <c r="E612" s="37"/>
      <c r="F612" s="36"/>
      <c r="G612" s="37"/>
      <c r="H612" s="37"/>
      <c r="I612" s="37"/>
      <c r="J612" s="37"/>
      <c r="K612" s="37"/>
      <c r="L612" s="37"/>
      <c r="M612" s="37"/>
      <c r="N612" s="29"/>
      <c r="O612" s="37"/>
      <c r="P612" s="29"/>
      <c r="Q612" s="37"/>
      <c r="R612" s="37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</row>
    <row r="613" spans="2:30">
      <c r="B613" s="29"/>
      <c r="C613" s="29"/>
      <c r="D613" s="36"/>
      <c r="E613" s="37"/>
      <c r="F613" s="36"/>
      <c r="G613" s="37"/>
      <c r="H613" s="37"/>
      <c r="I613" s="37"/>
      <c r="J613" s="37"/>
      <c r="K613" s="37"/>
      <c r="L613" s="37"/>
      <c r="M613" s="37"/>
      <c r="N613" s="29"/>
      <c r="O613" s="37"/>
      <c r="P613" s="29"/>
      <c r="Q613" s="37"/>
      <c r="R613" s="37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</row>
    <row r="614" spans="2:30">
      <c r="B614" s="29"/>
      <c r="C614" s="29"/>
      <c r="D614" s="36"/>
      <c r="E614" s="37"/>
      <c r="F614" s="36"/>
      <c r="G614" s="37"/>
      <c r="H614" s="37"/>
      <c r="I614" s="37"/>
      <c r="J614" s="37"/>
      <c r="K614" s="37"/>
      <c r="L614" s="37"/>
      <c r="M614" s="37"/>
      <c r="N614" s="29"/>
      <c r="O614" s="37"/>
      <c r="P614" s="29"/>
      <c r="Q614" s="37"/>
      <c r="R614" s="37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</row>
    <row r="615" spans="2:30">
      <c r="B615" s="29"/>
      <c r="C615" s="29"/>
      <c r="D615" s="36"/>
      <c r="E615" s="37"/>
      <c r="F615" s="36"/>
      <c r="G615" s="37"/>
      <c r="H615" s="37"/>
      <c r="I615" s="37"/>
      <c r="J615" s="37"/>
      <c r="K615" s="37"/>
      <c r="L615" s="37"/>
      <c r="M615" s="37"/>
      <c r="N615" s="29"/>
      <c r="O615" s="37"/>
      <c r="P615" s="29"/>
      <c r="Q615" s="37"/>
      <c r="R615" s="37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</row>
    <row r="616" spans="2:30">
      <c r="B616" s="29"/>
      <c r="C616" s="29"/>
      <c r="D616" s="36"/>
      <c r="E616" s="37"/>
      <c r="F616" s="36"/>
      <c r="G616" s="37"/>
      <c r="H616" s="37"/>
      <c r="I616" s="37"/>
      <c r="J616" s="37"/>
      <c r="K616" s="37"/>
      <c r="L616" s="37"/>
      <c r="M616" s="37"/>
      <c r="N616" s="29"/>
      <c r="O616" s="37"/>
      <c r="P616" s="29"/>
      <c r="Q616" s="37"/>
      <c r="R616" s="37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</row>
    <row r="617" spans="2:30">
      <c r="B617" s="29"/>
      <c r="C617" s="29"/>
      <c r="D617" s="36"/>
      <c r="E617" s="37"/>
      <c r="F617" s="36"/>
      <c r="G617" s="37"/>
      <c r="H617" s="37"/>
      <c r="I617" s="37"/>
      <c r="J617" s="37"/>
      <c r="K617" s="37"/>
      <c r="L617" s="37"/>
      <c r="M617" s="37"/>
      <c r="N617" s="29"/>
      <c r="O617" s="37"/>
      <c r="P617" s="29"/>
      <c r="Q617" s="37"/>
      <c r="R617" s="37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</row>
    <row r="618" spans="2:30">
      <c r="B618" s="29"/>
      <c r="C618" s="29"/>
      <c r="D618" s="36"/>
      <c r="E618" s="37"/>
      <c r="F618" s="36"/>
      <c r="G618" s="37"/>
      <c r="H618" s="37"/>
      <c r="I618" s="37"/>
      <c r="J618" s="37"/>
      <c r="K618" s="37"/>
      <c r="L618" s="37"/>
      <c r="M618" s="37"/>
      <c r="N618" s="29"/>
      <c r="O618" s="37"/>
      <c r="P618" s="29"/>
      <c r="Q618" s="37"/>
      <c r="R618" s="37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</row>
    <row r="619" spans="2:30">
      <c r="B619" s="29"/>
      <c r="C619" s="29"/>
      <c r="D619" s="36"/>
      <c r="E619" s="37"/>
      <c r="F619" s="36"/>
      <c r="G619" s="37"/>
      <c r="H619" s="37"/>
      <c r="I619" s="37"/>
      <c r="J619" s="37"/>
      <c r="K619" s="37"/>
      <c r="L619" s="37"/>
      <c r="M619" s="37"/>
      <c r="N619" s="29"/>
      <c r="O619" s="37"/>
      <c r="P619" s="29"/>
      <c r="Q619" s="37"/>
      <c r="R619" s="37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</row>
    <row r="620" spans="2:30">
      <c r="B620" s="29"/>
      <c r="C620" s="29"/>
      <c r="D620" s="36"/>
      <c r="E620" s="37"/>
      <c r="F620" s="36"/>
      <c r="G620" s="37"/>
      <c r="H620" s="37"/>
      <c r="I620" s="37"/>
      <c r="J620" s="37"/>
      <c r="K620" s="37"/>
      <c r="L620" s="37"/>
      <c r="M620" s="37"/>
      <c r="N620" s="29"/>
      <c r="O620" s="37"/>
      <c r="P620" s="29"/>
      <c r="Q620" s="37"/>
      <c r="R620" s="37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</row>
    <row r="621" spans="2:30">
      <c r="B621" s="29"/>
      <c r="C621" s="29"/>
      <c r="D621" s="36"/>
      <c r="E621" s="37"/>
      <c r="F621" s="36"/>
      <c r="G621" s="37"/>
      <c r="H621" s="37"/>
      <c r="I621" s="37"/>
      <c r="J621" s="37"/>
      <c r="K621" s="37"/>
      <c r="L621" s="37"/>
      <c r="M621" s="37"/>
      <c r="N621" s="29"/>
      <c r="O621" s="37"/>
      <c r="P621" s="29"/>
      <c r="Q621" s="37"/>
      <c r="R621" s="37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</row>
    <row r="622" spans="2:30">
      <c r="B622" s="29"/>
      <c r="C622" s="29"/>
      <c r="D622" s="36"/>
      <c r="E622" s="37"/>
      <c r="F622" s="36"/>
      <c r="G622" s="37"/>
      <c r="H622" s="37"/>
      <c r="I622" s="37"/>
      <c r="J622" s="37"/>
      <c r="K622" s="37"/>
      <c r="L622" s="37"/>
      <c r="M622" s="37"/>
      <c r="N622" s="29"/>
      <c r="O622" s="37"/>
      <c r="P622" s="29"/>
      <c r="Q622" s="37"/>
      <c r="R622" s="37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</row>
    <row r="623" spans="2:30">
      <c r="B623" s="29"/>
      <c r="C623" s="29"/>
      <c r="D623" s="36"/>
      <c r="E623" s="37"/>
      <c r="F623" s="36"/>
      <c r="G623" s="37"/>
      <c r="H623" s="37"/>
      <c r="I623" s="37"/>
      <c r="J623" s="37"/>
      <c r="K623" s="37"/>
      <c r="L623" s="37"/>
      <c r="M623" s="37"/>
      <c r="N623" s="29"/>
      <c r="O623" s="37"/>
      <c r="P623" s="29"/>
      <c r="Q623" s="37"/>
      <c r="R623" s="37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</row>
    <row r="624" spans="2:30">
      <c r="B624" s="29"/>
      <c r="C624" s="29"/>
      <c r="D624" s="36"/>
      <c r="E624" s="37"/>
      <c r="F624" s="36"/>
      <c r="G624" s="37"/>
      <c r="H624" s="37"/>
      <c r="I624" s="37"/>
      <c r="J624" s="37"/>
      <c r="K624" s="37"/>
      <c r="L624" s="37"/>
      <c r="M624" s="37"/>
      <c r="N624" s="29"/>
      <c r="O624" s="37"/>
      <c r="P624" s="29"/>
      <c r="Q624" s="37"/>
      <c r="R624" s="37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</row>
    <row r="625" spans="2:30">
      <c r="B625" s="29"/>
      <c r="C625" s="29"/>
      <c r="D625" s="36"/>
      <c r="E625" s="37"/>
      <c r="F625" s="36"/>
      <c r="G625" s="37"/>
      <c r="H625" s="37"/>
      <c r="I625" s="37"/>
      <c r="J625" s="37"/>
      <c r="K625" s="37"/>
      <c r="L625" s="37"/>
      <c r="M625" s="37"/>
      <c r="N625" s="29"/>
      <c r="O625" s="37"/>
      <c r="P625" s="29"/>
      <c r="Q625" s="37"/>
      <c r="R625" s="37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</row>
    <row r="626" spans="2:30">
      <c r="B626" s="29"/>
      <c r="C626" s="29"/>
      <c r="D626" s="36"/>
      <c r="E626" s="37"/>
      <c r="F626" s="36"/>
      <c r="G626" s="37"/>
      <c r="H626" s="37"/>
      <c r="I626" s="37"/>
      <c r="J626" s="37"/>
      <c r="K626" s="37"/>
      <c r="L626" s="37"/>
      <c r="M626" s="37"/>
      <c r="N626" s="29"/>
      <c r="O626" s="37"/>
      <c r="P626" s="29"/>
      <c r="Q626" s="37"/>
      <c r="R626" s="37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</row>
    <row r="627" spans="2:30">
      <c r="B627" s="29"/>
      <c r="C627" s="29"/>
      <c r="D627" s="36"/>
      <c r="E627" s="37"/>
      <c r="F627" s="36"/>
      <c r="G627" s="37"/>
      <c r="H627" s="37"/>
      <c r="I627" s="37"/>
      <c r="J627" s="37"/>
      <c r="K627" s="37"/>
      <c r="L627" s="37"/>
      <c r="M627" s="37"/>
      <c r="N627" s="29"/>
      <c r="O627" s="37"/>
      <c r="P627" s="29"/>
      <c r="Q627" s="37"/>
      <c r="R627" s="37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</row>
    <row r="628" spans="2:30">
      <c r="B628" s="29"/>
      <c r="C628" s="29"/>
      <c r="D628" s="36"/>
      <c r="E628" s="37"/>
      <c r="F628" s="36"/>
      <c r="G628" s="37"/>
      <c r="H628" s="37"/>
      <c r="I628" s="37"/>
      <c r="J628" s="37"/>
      <c r="K628" s="37"/>
      <c r="L628" s="37"/>
      <c r="M628" s="37"/>
      <c r="N628" s="29"/>
      <c r="O628" s="37"/>
      <c r="P628" s="29"/>
      <c r="Q628" s="37"/>
      <c r="R628" s="37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</row>
    <row r="629" spans="2:30">
      <c r="B629" s="29"/>
      <c r="C629" s="29"/>
      <c r="D629" s="36"/>
      <c r="E629" s="37"/>
      <c r="F629" s="36"/>
      <c r="G629" s="37"/>
      <c r="H629" s="37"/>
      <c r="I629" s="37"/>
      <c r="J629" s="37"/>
      <c r="K629" s="37"/>
      <c r="L629" s="37"/>
      <c r="M629" s="37"/>
      <c r="N629" s="29"/>
      <c r="O629" s="37"/>
      <c r="P629" s="29"/>
      <c r="Q629" s="37"/>
      <c r="R629" s="37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</row>
    <row r="630" spans="2:30">
      <c r="B630" s="29"/>
      <c r="C630" s="29"/>
      <c r="D630" s="36"/>
      <c r="E630" s="37"/>
      <c r="F630" s="36"/>
      <c r="G630" s="37"/>
      <c r="H630" s="37"/>
      <c r="I630" s="37"/>
      <c r="J630" s="37"/>
      <c r="K630" s="37"/>
      <c r="L630" s="37"/>
      <c r="M630" s="37"/>
      <c r="N630" s="29"/>
      <c r="O630" s="37"/>
      <c r="P630" s="29"/>
      <c r="Q630" s="37"/>
      <c r="R630" s="37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</row>
    <row r="631" spans="2:30">
      <c r="B631" s="29"/>
      <c r="C631" s="29"/>
      <c r="D631" s="36"/>
      <c r="E631" s="37"/>
      <c r="F631" s="36"/>
      <c r="G631" s="37"/>
      <c r="H631" s="37"/>
      <c r="I631" s="37"/>
      <c r="J631" s="37"/>
      <c r="K631" s="37"/>
      <c r="L631" s="37"/>
      <c r="M631" s="37"/>
      <c r="N631" s="29"/>
      <c r="O631" s="37"/>
      <c r="P631" s="29"/>
      <c r="Q631" s="37"/>
      <c r="R631" s="37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</row>
    <row r="632" spans="2:30">
      <c r="B632" s="29"/>
      <c r="C632" s="29"/>
      <c r="D632" s="36"/>
      <c r="E632" s="37"/>
      <c r="F632" s="36"/>
      <c r="G632" s="37"/>
      <c r="H632" s="37"/>
      <c r="I632" s="37"/>
      <c r="J632" s="37"/>
      <c r="K632" s="37"/>
      <c r="L632" s="37"/>
      <c r="M632" s="37"/>
      <c r="N632" s="29"/>
      <c r="O632" s="37"/>
      <c r="P632" s="29"/>
      <c r="Q632" s="37"/>
      <c r="R632" s="37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</row>
    <row r="633" spans="2:30">
      <c r="B633" s="29"/>
      <c r="C633" s="29"/>
      <c r="D633" s="36"/>
      <c r="E633" s="37"/>
      <c r="F633" s="36"/>
      <c r="G633" s="37"/>
      <c r="H633" s="37"/>
      <c r="I633" s="37"/>
      <c r="J633" s="37"/>
      <c r="K633" s="37"/>
      <c r="L633" s="37"/>
      <c r="M633" s="37"/>
      <c r="N633" s="29"/>
      <c r="O633" s="37"/>
      <c r="P633" s="29"/>
      <c r="Q633" s="37"/>
      <c r="R633" s="37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</row>
    <row r="634" spans="2:30">
      <c r="B634" s="29"/>
      <c r="C634" s="29"/>
      <c r="D634" s="36"/>
      <c r="E634" s="37"/>
      <c r="F634" s="36"/>
      <c r="G634" s="37"/>
      <c r="H634" s="37"/>
      <c r="I634" s="37"/>
      <c r="J634" s="37"/>
      <c r="K634" s="37"/>
      <c r="L634" s="37"/>
      <c r="M634" s="37"/>
      <c r="N634" s="29"/>
      <c r="O634" s="37"/>
      <c r="P634" s="29"/>
      <c r="Q634" s="37"/>
      <c r="R634" s="37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</row>
    <row r="635" spans="2:30">
      <c r="B635" s="29"/>
      <c r="C635" s="29"/>
      <c r="D635" s="36"/>
      <c r="E635" s="37"/>
      <c r="F635" s="36"/>
      <c r="G635" s="37"/>
      <c r="H635" s="37"/>
      <c r="I635" s="37"/>
      <c r="J635" s="37"/>
      <c r="K635" s="37"/>
      <c r="L635" s="37"/>
      <c r="M635" s="37"/>
      <c r="N635" s="29"/>
      <c r="O635" s="37"/>
      <c r="P635" s="29"/>
      <c r="Q635" s="37"/>
      <c r="R635" s="37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</row>
    <row r="636" spans="2:30">
      <c r="B636" s="29"/>
      <c r="C636" s="29"/>
      <c r="D636" s="36"/>
      <c r="E636" s="37"/>
      <c r="F636" s="36"/>
      <c r="G636" s="37"/>
      <c r="H636" s="37"/>
      <c r="I636" s="37"/>
      <c r="J636" s="37"/>
      <c r="K636" s="37"/>
      <c r="L636" s="37"/>
      <c r="M636" s="37"/>
      <c r="N636" s="29"/>
      <c r="O636" s="37"/>
      <c r="P636" s="29"/>
      <c r="Q636" s="37"/>
      <c r="R636" s="37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</row>
    <row r="637" spans="2:30">
      <c r="B637" s="29"/>
      <c r="C637" s="29"/>
      <c r="D637" s="36"/>
      <c r="E637" s="37"/>
      <c r="F637" s="36"/>
      <c r="G637" s="37"/>
      <c r="H637" s="37"/>
      <c r="I637" s="37"/>
      <c r="J637" s="37"/>
      <c r="K637" s="37"/>
      <c r="L637" s="37"/>
      <c r="M637" s="37"/>
      <c r="N637" s="29"/>
      <c r="O637" s="37"/>
      <c r="P637" s="29"/>
      <c r="Q637" s="37"/>
      <c r="R637" s="37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</row>
    <row r="638" spans="2:30">
      <c r="B638" s="29"/>
      <c r="C638" s="29"/>
      <c r="D638" s="36"/>
      <c r="E638" s="37"/>
      <c r="F638" s="36"/>
      <c r="G638" s="37"/>
      <c r="H638" s="37"/>
      <c r="I638" s="37"/>
      <c r="J638" s="37"/>
      <c r="K638" s="37"/>
      <c r="L638" s="37"/>
      <c r="M638" s="37"/>
      <c r="N638" s="29"/>
      <c r="O638" s="37"/>
      <c r="P638" s="29"/>
      <c r="Q638" s="37"/>
      <c r="R638" s="37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</row>
    <row r="639" spans="2:30">
      <c r="B639" s="29"/>
      <c r="C639" s="29"/>
      <c r="D639" s="36"/>
      <c r="E639" s="37"/>
      <c r="F639" s="36"/>
      <c r="G639" s="37"/>
      <c r="H639" s="37"/>
      <c r="I639" s="37"/>
      <c r="J639" s="37"/>
      <c r="K639" s="37"/>
      <c r="L639" s="37"/>
      <c r="M639" s="37"/>
      <c r="N639" s="29"/>
      <c r="O639" s="37"/>
      <c r="P639" s="29"/>
      <c r="Q639" s="37"/>
      <c r="R639" s="37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</row>
    <row r="640" spans="2:30">
      <c r="B640" s="29"/>
      <c r="C640" s="29"/>
      <c r="D640" s="36"/>
      <c r="E640" s="37"/>
      <c r="F640" s="36"/>
      <c r="G640" s="37"/>
      <c r="H640" s="37"/>
      <c r="I640" s="37"/>
      <c r="J640" s="37"/>
      <c r="K640" s="37"/>
      <c r="L640" s="37"/>
      <c r="M640" s="37"/>
      <c r="N640" s="29"/>
      <c r="O640" s="37"/>
      <c r="P640" s="29"/>
      <c r="Q640" s="37"/>
      <c r="R640" s="37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</row>
    <row r="641" spans="2:30">
      <c r="B641" s="29"/>
      <c r="C641" s="29"/>
      <c r="D641" s="36"/>
      <c r="E641" s="37"/>
      <c r="F641" s="36"/>
      <c r="G641" s="37"/>
      <c r="H641" s="37"/>
      <c r="I641" s="37"/>
      <c r="J641" s="37"/>
      <c r="K641" s="37"/>
      <c r="L641" s="37"/>
      <c r="M641" s="37"/>
      <c r="N641" s="29"/>
      <c r="O641" s="37"/>
      <c r="P641" s="29"/>
      <c r="Q641" s="37"/>
      <c r="R641" s="37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</row>
    <row r="642" spans="2:30">
      <c r="B642" s="29"/>
      <c r="C642" s="29"/>
      <c r="D642" s="36"/>
      <c r="E642" s="37"/>
      <c r="F642" s="36"/>
      <c r="G642" s="37"/>
      <c r="H642" s="37"/>
      <c r="I642" s="37"/>
      <c r="J642" s="37"/>
      <c r="K642" s="37"/>
      <c r="L642" s="37"/>
      <c r="M642" s="37"/>
      <c r="N642" s="29"/>
      <c r="O642" s="37"/>
      <c r="P642" s="29"/>
      <c r="Q642" s="37"/>
      <c r="R642" s="37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</row>
    <row r="643" spans="2:30">
      <c r="B643" s="29"/>
      <c r="C643" s="29"/>
      <c r="D643" s="36"/>
      <c r="E643" s="37"/>
      <c r="F643" s="36"/>
      <c r="G643" s="37"/>
      <c r="H643" s="37"/>
      <c r="I643" s="37"/>
      <c r="J643" s="37"/>
      <c r="K643" s="37"/>
      <c r="L643" s="37"/>
      <c r="M643" s="37"/>
      <c r="N643" s="29"/>
      <c r="O643" s="37"/>
      <c r="P643" s="29"/>
      <c r="Q643" s="37"/>
      <c r="R643" s="37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</row>
    <row r="644" spans="2:30">
      <c r="B644" s="29"/>
      <c r="C644" s="29"/>
      <c r="D644" s="36"/>
      <c r="E644" s="37"/>
      <c r="F644" s="36"/>
      <c r="G644" s="37"/>
      <c r="H644" s="37"/>
      <c r="I644" s="37"/>
      <c r="J644" s="37"/>
      <c r="K644" s="37"/>
      <c r="L644" s="37"/>
      <c r="M644" s="37"/>
      <c r="N644" s="29"/>
      <c r="O644" s="37"/>
      <c r="P644" s="29"/>
      <c r="Q644" s="37"/>
      <c r="R644" s="37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</row>
    <row r="645" spans="2:30">
      <c r="B645" s="29"/>
      <c r="C645" s="29"/>
      <c r="D645" s="36"/>
      <c r="E645" s="37"/>
      <c r="F645" s="36"/>
      <c r="G645" s="37"/>
      <c r="H645" s="37"/>
      <c r="I645" s="37"/>
      <c r="J645" s="37"/>
      <c r="K645" s="37"/>
      <c r="L645" s="37"/>
      <c r="M645" s="37"/>
      <c r="N645" s="29"/>
      <c r="O645" s="37"/>
      <c r="P645" s="29"/>
      <c r="Q645" s="37"/>
      <c r="R645" s="37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</row>
    <row r="646" spans="2:30">
      <c r="B646" s="29"/>
      <c r="C646" s="29"/>
      <c r="D646" s="36"/>
      <c r="E646" s="37"/>
      <c r="F646" s="36"/>
      <c r="G646" s="37"/>
      <c r="H646" s="37"/>
      <c r="I646" s="37"/>
      <c r="J646" s="37"/>
      <c r="K646" s="37"/>
      <c r="L646" s="37"/>
      <c r="M646" s="37"/>
      <c r="N646" s="29"/>
      <c r="O646" s="37"/>
      <c r="P646" s="29"/>
      <c r="Q646" s="37"/>
      <c r="R646" s="37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</row>
    <row r="647" spans="2:30">
      <c r="B647" s="29"/>
      <c r="C647" s="29"/>
      <c r="D647" s="36"/>
      <c r="E647" s="37"/>
      <c r="F647" s="36"/>
      <c r="G647" s="37"/>
      <c r="H647" s="37"/>
      <c r="I647" s="37"/>
      <c r="J647" s="37"/>
      <c r="K647" s="37"/>
      <c r="L647" s="37"/>
      <c r="M647" s="37"/>
      <c r="N647" s="29"/>
      <c r="O647" s="37"/>
      <c r="P647" s="29"/>
      <c r="Q647" s="37"/>
      <c r="R647" s="37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</row>
    <row r="648" spans="2:30">
      <c r="B648" s="29"/>
      <c r="C648" s="29"/>
      <c r="D648" s="36"/>
      <c r="E648" s="37"/>
      <c r="F648" s="36"/>
      <c r="G648" s="37"/>
      <c r="H648" s="37"/>
      <c r="I648" s="37"/>
      <c r="J648" s="37"/>
      <c r="K648" s="37"/>
      <c r="L648" s="37"/>
      <c r="M648" s="37"/>
      <c r="N648" s="29"/>
      <c r="O648" s="37"/>
      <c r="P648" s="29"/>
      <c r="Q648" s="37"/>
      <c r="R648" s="37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</row>
    <row r="649" spans="2:30">
      <c r="B649" s="29"/>
      <c r="C649" s="29"/>
      <c r="D649" s="36"/>
      <c r="E649" s="37"/>
      <c r="F649" s="36"/>
      <c r="G649" s="37"/>
      <c r="H649" s="37"/>
      <c r="I649" s="37"/>
      <c r="J649" s="37"/>
      <c r="K649" s="37"/>
      <c r="L649" s="37"/>
      <c r="M649" s="37"/>
      <c r="N649" s="29"/>
      <c r="O649" s="37"/>
      <c r="P649" s="29"/>
      <c r="Q649" s="37"/>
      <c r="R649" s="37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</row>
    <row r="650" spans="2:30">
      <c r="B650" s="29"/>
      <c r="C650" s="29"/>
      <c r="D650" s="36"/>
      <c r="E650" s="37"/>
      <c r="F650" s="36"/>
      <c r="G650" s="37"/>
      <c r="H650" s="37"/>
      <c r="I650" s="37"/>
      <c r="J650" s="37"/>
      <c r="K650" s="37"/>
      <c r="L650" s="37"/>
      <c r="M650" s="37"/>
      <c r="N650" s="29"/>
      <c r="O650" s="37"/>
      <c r="P650" s="29"/>
      <c r="Q650" s="37"/>
      <c r="R650" s="37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</row>
    <row r="651" spans="2:30">
      <c r="B651" s="29"/>
      <c r="C651" s="29"/>
      <c r="D651" s="36"/>
      <c r="E651" s="37"/>
      <c r="F651" s="36"/>
      <c r="G651" s="37"/>
      <c r="H651" s="37"/>
      <c r="I651" s="37"/>
      <c r="J651" s="37"/>
      <c r="K651" s="37"/>
      <c r="L651" s="37"/>
      <c r="M651" s="37"/>
      <c r="N651" s="29"/>
      <c r="O651" s="37"/>
      <c r="P651" s="29"/>
      <c r="Q651" s="37"/>
      <c r="R651" s="37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</row>
    <row r="652" spans="2:30">
      <c r="B652" s="29"/>
      <c r="C652" s="29"/>
      <c r="D652" s="36"/>
      <c r="E652" s="37"/>
      <c r="F652" s="36"/>
      <c r="G652" s="37"/>
      <c r="H652" s="37"/>
      <c r="I652" s="37"/>
      <c r="J652" s="37"/>
      <c r="K652" s="37"/>
      <c r="L652" s="37"/>
      <c r="M652" s="37"/>
      <c r="N652" s="29"/>
      <c r="O652" s="37"/>
      <c r="P652" s="29"/>
      <c r="Q652" s="37"/>
      <c r="R652" s="37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</row>
    <row r="653" spans="2:30">
      <c r="B653" s="29"/>
      <c r="C653" s="29"/>
      <c r="D653" s="36"/>
      <c r="E653" s="37"/>
      <c r="F653" s="36"/>
      <c r="G653" s="37"/>
      <c r="H653" s="37"/>
      <c r="I653" s="37"/>
      <c r="J653" s="37"/>
      <c r="K653" s="37"/>
      <c r="L653" s="37"/>
      <c r="M653" s="37"/>
      <c r="N653" s="29"/>
      <c r="O653" s="37"/>
      <c r="P653" s="29"/>
      <c r="Q653" s="37"/>
      <c r="R653" s="37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</row>
    <row r="654" spans="2:30">
      <c r="B654" s="29"/>
      <c r="C654" s="29"/>
      <c r="D654" s="36"/>
      <c r="E654" s="37"/>
      <c r="F654" s="36"/>
      <c r="G654" s="37"/>
      <c r="H654" s="37"/>
      <c r="I654" s="37"/>
      <c r="J654" s="37"/>
      <c r="K654" s="37"/>
      <c r="L654" s="37"/>
      <c r="M654" s="37"/>
      <c r="N654" s="29"/>
      <c r="O654" s="37"/>
      <c r="P654" s="29"/>
      <c r="Q654" s="37"/>
      <c r="R654" s="37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</row>
    <row r="655" spans="2:30">
      <c r="B655" s="29"/>
      <c r="C655" s="29"/>
      <c r="D655" s="36"/>
      <c r="E655" s="37"/>
      <c r="F655" s="36"/>
      <c r="G655" s="37"/>
      <c r="H655" s="37"/>
      <c r="I655" s="37"/>
      <c r="J655" s="37"/>
      <c r="K655" s="37"/>
      <c r="L655" s="37"/>
      <c r="M655" s="37"/>
      <c r="N655" s="29"/>
      <c r="O655" s="37"/>
      <c r="P655" s="29"/>
      <c r="Q655" s="37"/>
      <c r="R655" s="37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</row>
    <row r="656" spans="2:30">
      <c r="B656" s="29"/>
      <c r="C656" s="29"/>
      <c r="D656" s="36"/>
      <c r="E656" s="37"/>
      <c r="F656" s="36"/>
      <c r="G656" s="37"/>
      <c r="H656" s="37"/>
      <c r="I656" s="37"/>
      <c r="J656" s="37"/>
      <c r="K656" s="37"/>
      <c r="L656" s="37"/>
      <c r="M656" s="37"/>
      <c r="N656" s="29"/>
      <c r="O656" s="37"/>
      <c r="P656" s="29"/>
      <c r="Q656" s="37"/>
      <c r="R656" s="37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</row>
    <row r="657" spans="2:30">
      <c r="B657" s="29"/>
      <c r="C657" s="29"/>
      <c r="D657" s="36"/>
      <c r="E657" s="37"/>
      <c r="F657" s="36"/>
      <c r="G657" s="37"/>
      <c r="H657" s="37"/>
      <c r="I657" s="37"/>
      <c r="J657" s="37"/>
      <c r="K657" s="37"/>
      <c r="L657" s="37"/>
      <c r="M657" s="37"/>
      <c r="N657" s="29"/>
      <c r="O657" s="37"/>
      <c r="P657" s="29"/>
      <c r="Q657" s="37"/>
      <c r="R657" s="37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</row>
    <row r="658" spans="2:30">
      <c r="B658" s="29"/>
      <c r="C658" s="29"/>
      <c r="D658" s="36"/>
      <c r="E658" s="37"/>
      <c r="F658" s="36"/>
      <c r="G658" s="37"/>
      <c r="H658" s="37"/>
      <c r="I658" s="37"/>
      <c r="J658" s="37"/>
      <c r="K658" s="37"/>
      <c r="L658" s="37"/>
      <c r="M658" s="37"/>
      <c r="N658" s="29"/>
      <c r="O658" s="37"/>
      <c r="P658" s="29"/>
      <c r="Q658" s="37"/>
      <c r="R658" s="37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</row>
    <row r="659" spans="2:30">
      <c r="B659" s="29"/>
      <c r="C659" s="29"/>
      <c r="D659" s="36"/>
      <c r="E659" s="37"/>
      <c r="F659" s="36"/>
      <c r="G659" s="37"/>
      <c r="H659" s="37"/>
      <c r="I659" s="37"/>
      <c r="J659" s="37"/>
      <c r="K659" s="37"/>
      <c r="L659" s="37"/>
      <c r="M659" s="37"/>
      <c r="N659" s="29"/>
      <c r="O659" s="37"/>
      <c r="P659" s="29"/>
      <c r="Q659" s="37"/>
      <c r="R659" s="37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</row>
    <row r="660" spans="2:30">
      <c r="B660" s="29"/>
      <c r="C660" s="29"/>
      <c r="D660" s="36"/>
      <c r="E660" s="37"/>
      <c r="F660" s="36"/>
      <c r="G660" s="37"/>
      <c r="H660" s="37"/>
      <c r="I660" s="37"/>
      <c r="J660" s="37"/>
      <c r="K660" s="37"/>
      <c r="L660" s="37"/>
      <c r="M660" s="37"/>
      <c r="N660" s="29"/>
      <c r="O660" s="37"/>
      <c r="P660" s="29"/>
      <c r="Q660" s="37"/>
      <c r="R660" s="37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</row>
    <row r="661" spans="2:30">
      <c r="B661" s="29"/>
      <c r="C661" s="29"/>
      <c r="D661" s="36"/>
      <c r="E661" s="37"/>
      <c r="F661" s="36"/>
      <c r="G661" s="37"/>
      <c r="H661" s="37"/>
      <c r="I661" s="37"/>
      <c r="J661" s="37"/>
      <c r="K661" s="37"/>
      <c r="L661" s="37"/>
      <c r="M661" s="37"/>
      <c r="N661" s="29"/>
      <c r="O661" s="37"/>
      <c r="P661" s="29"/>
      <c r="Q661" s="37"/>
      <c r="R661" s="37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</row>
    <row r="662" spans="2:30">
      <c r="B662" s="29"/>
      <c r="C662" s="29"/>
      <c r="D662" s="36"/>
      <c r="E662" s="37"/>
      <c r="F662" s="36"/>
      <c r="G662" s="37"/>
      <c r="H662" s="37"/>
      <c r="I662" s="37"/>
      <c r="J662" s="37"/>
      <c r="K662" s="37"/>
      <c r="L662" s="37"/>
      <c r="M662" s="37"/>
      <c r="N662" s="29"/>
      <c r="O662" s="37"/>
      <c r="P662" s="29"/>
      <c r="Q662" s="37"/>
      <c r="R662" s="37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</row>
    <row r="663" spans="2:30">
      <c r="B663" s="29"/>
      <c r="C663" s="29"/>
      <c r="D663" s="36"/>
      <c r="E663" s="37"/>
      <c r="F663" s="36"/>
      <c r="G663" s="37"/>
      <c r="H663" s="37"/>
      <c r="I663" s="37"/>
      <c r="J663" s="37"/>
      <c r="K663" s="37"/>
      <c r="L663" s="37"/>
      <c r="M663" s="37"/>
      <c r="N663" s="29"/>
      <c r="O663" s="37"/>
      <c r="P663" s="29"/>
      <c r="Q663" s="37"/>
      <c r="R663" s="37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</row>
    <row r="664" spans="2:30">
      <c r="B664" s="29"/>
      <c r="C664" s="29"/>
      <c r="D664" s="36"/>
      <c r="E664" s="37"/>
      <c r="F664" s="36"/>
      <c r="G664" s="37"/>
      <c r="H664" s="37"/>
      <c r="I664" s="37"/>
      <c r="J664" s="37"/>
      <c r="K664" s="37"/>
      <c r="L664" s="37"/>
      <c r="M664" s="37"/>
      <c r="N664" s="29"/>
      <c r="O664" s="37"/>
      <c r="P664" s="29"/>
      <c r="Q664" s="37"/>
      <c r="R664" s="37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</row>
    <row r="665" spans="2:30">
      <c r="B665" s="29"/>
      <c r="C665" s="29"/>
      <c r="D665" s="36"/>
      <c r="E665" s="37"/>
      <c r="F665" s="36"/>
      <c r="G665" s="37"/>
      <c r="H665" s="37"/>
      <c r="I665" s="37"/>
      <c r="J665" s="37"/>
      <c r="K665" s="37"/>
      <c r="L665" s="37"/>
      <c r="M665" s="37"/>
      <c r="N665" s="29"/>
      <c r="O665" s="37"/>
      <c r="P665" s="29"/>
      <c r="Q665" s="37"/>
      <c r="R665" s="37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</row>
    <row r="666" spans="2:30">
      <c r="B666" s="29"/>
      <c r="C666" s="29"/>
      <c r="D666" s="36"/>
      <c r="E666" s="37"/>
      <c r="F666" s="36"/>
      <c r="G666" s="37"/>
      <c r="H666" s="37"/>
      <c r="I666" s="37"/>
      <c r="J666" s="37"/>
      <c r="K666" s="37"/>
      <c r="L666" s="37"/>
      <c r="M666" s="37"/>
      <c r="N666" s="29"/>
      <c r="O666" s="37"/>
      <c r="P666" s="29"/>
      <c r="Q666" s="37"/>
      <c r="R666" s="37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</row>
    <row r="667" spans="2:30">
      <c r="B667" s="29"/>
      <c r="C667" s="29"/>
      <c r="D667" s="36"/>
      <c r="E667" s="37"/>
      <c r="F667" s="36"/>
      <c r="G667" s="37"/>
      <c r="H667" s="37"/>
      <c r="I667" s="37"/>
      <c r="J667" s="37"/>
      <c r="K667" s="37"/>
      <c r="L667" s="37"/>
      <c r="M667" s="37"/>
      <c r="N667" s="29"/>
      <c r="O667" s="37"/>
      <c r="P667" s="29"/>
      <c r="Q667" s="37"/>
      <c r="R667" s="37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</row>
    <row r="668" spans="2:30">
      <c r="B668" s="29"/>
      <c r="C668" s="29"/>
      <c r="D668" s="36"/>
      <c r="E668" s="37"/>
      <c r="F668" s="36"/>
      <c r="G668" s="37"/>
      <c r="H668" s="37"/>
      <c r="I668" s="37"/>
      <c r="J668" s="37"/>
      <c r="K668" s="37"/>
      <c r="L668" s="37"/>
      <c r="M668" s="37"/>
      <c r="N668" s="29"/>
      <c r="O668" s="37"/>
      <c r="P668" s="29"/>
      <c r="Q668" s="37"/>
      <c r="R668" s="37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</row>
    <row r="669" spans="2:30">
      <c r="B669" s="29"/>
      <c r="C669" s="29"/>
      <c r="D669" s="36"/>
      <c r="E669" s="37"/>
      <c r="F669" s="36"/>
      <c r="G669" s="37"/>
      <c r="H669" s="37"/>
      <c r="I669" s="37"/>
      <c r="J669" s="37"/>
      <c r="K669" s="37"/>
      <c r="L669" s="37"/>
      <c r="M669" s="37"/>
      <c r="N669" s="29"/>
      <c r="O669" s="37"/>
      <c r="P669" s="29"/>
      <c r="Q669" s="37"/>
      <c r="R669" s="37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</row>
    <row r="670" spans="2:30">
      <c r="B670" s="29"/>
      <c r="C670" s="29"/>
      <c r="D670" s="36"/>
      <c r="E670" s="37"/>
      <c r="F670" s="36"/>
      <c r="G670" s="37"/>
      <c r="H670" s="37"/>
      <c r="I670" s="37"/>
      <c r="J670" s="37"/>
      <c r="K670" s="37"/>
      <c r="L670" s="37"/>
      <c r="M670" s="37"/>
      <c r="N670" s="29"/>
      <c r="O670" s="37"/>
      <c r="P670" s="29"/>
      <c r="Q670" s="37"/>
      <c r="R670" s="37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</row>
    <row r="671" spans="2:30">
      <c r="B671" s="29"/>
      <c r="C671" s="29"/>
      <c r="D671" s="36"/>
      <c r="E671" s="37"/>
      <c r="F671" s="36"/>
      <c r="G671" s="37"/>
      <c r="H671" s="37"/>
      <c r="I671" s="37"/>
      <c r="J671" s="37"/>
      <c r="K671" s="37"/>
      <c r="L671" s="37"/>
      <c r="M671" s="37"/>
      <c r="N671" s="29"/>
      <c r="O671" s="37"/>
      <c r="P671" s="29"/>
      <c r="Q671" s="37"/>
      <c r="R671" s="37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</row>
    <row r="672" spans="2:30">
      <c r="B672" s="29"/>
      <c r="C672" s="29"/>
      <c r="D672" s="36"/>
      <c r="E672" s="37"/>
      <c r="F672" s="36"/>
      <c r="G672" s="37"/>
      <c r="H672" s="37"/>
      <c r="I672" s="37"/>
      <c r="J672" s="37"/>
      <c r="K672" s="37"/>
      <c r="L672" s="37"/>
      <c r="M672" s="37"/>
      <c r="N672" s="29"/>
      <c r="O672" s="37"/>
      <c r="P672" s="29"/>
      <c r="Q672" s="37"/>
      <c r="R672" s="37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</row>
    <row r="673" spans="2:30">
      <c r="B673" s="29"/>
      <c r="C673" s="29"/>
      <c r="D673" s="36"/>
      <c r="E673" s="37"/>
      <c r="F673" s="36"/>
      <c r="G673" s="37"/>
      <c r="H673" s="37"/>
      <c r="I673" s="37"/>
      <c r="J673" s="37"/>
      <c r="K673" s="37"/>
      <c r="L673" s="37"/>
      <c r="M673" s="37"/>
      <c r="N673" s="29"/>
      <c r="O673" s="37"/>
      <c r="P673" s="29"/>
      <c r="Q673" s="37"/>
      <c r="R673" s="37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</row>
    <row r="674" spans="2:30">
      <c r="B674" s="29"/>
      <c r="C674" s="29"/>
      <c r="D674" s="36"/>
      <c r="E674" s="37"/>
      <c r="F674" s="36"/>
      <c r="G674" s="37"/>
      <c r="H674" s="37"/>
      <c r="I674" s="37"/>
      <c r="J674" s="37"/>
      <c r="K674" s="37"/>
      <c r="L674" s="37"/>
      <c r="M674" s="37"/>
      <c r="N674" s="29"/>
      <c r="O674" s="37"/>
      <c r="P674" s="29"/>
      <c r="Q674" s="37"/>
      <c r="R674" s="37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</row>
    <row r="675" spans="2:30">
      <c r="B675" s="29"/>
      <c r="C675" s="29"/>
      <c r="D675" s="36"/>
      <c r="E675" s="37"/>
      <c r="F675" s="36"/>
      <c r="G675" s="37"/>
      <c r="H675" s="37"/>
      <c r="I675" s="37"/>
      <c r="J675" s="37"/>
      <c r="K675" s="37"/>
      <c r="L675" s="37"/>
      <c r="M675" s="37"/>
      <c r="N675" s="29"/>
      <c r="O675" s="37"/>
      <c r="P675" s="29"/>
      <c r="Q675" s="37"/>
      <c r="R675" s="37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</row>
    <row r="676" spans="2:30">
      <c r="B676" s="29"/>
      <c r="C676" s="29"/>
      <c r="D676" s="36"/>
      <c r="E676" s="37"/>
      <c r="F676" s="36"/>
      <c r="G676" s="37"/>
      <c r="H676" s="37"/>
      <c r="I676" s="37"/>
      <c r="J676" s="37"/>
      <c r="K676" s="37"/>
      <c r="L676" s="37"/>
      <c r="M676" s="37"/>
      <c r="N676" s="29"/>
      <c r="O676" s="37"/>
      <c r="P676" s="29"/>
      <c r="Q676" s="37"/>
      <c r="R676" s="37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</row>
    <row r="677" spans="2:30">
      <c r="B677" s="29"/>
      <c r="C677" s="29"/>
      <c r="D677" s="36"/>
      <c r="E677" s="37"/>
      <c r="F677" s="36"/>
      <c r="G677" s="37"/>
      <c r="H677" s="37"/>
      <c r="I677" s="37"/>
      <c r="J677" s="37"/>
      <c r="K677" s="37"/>
      <c r="L677" s="37"/>
      <c r="M677" s="37"/>
      <c r="N677" s="29"/>
      <c r="O677" s="37"/>
      <c r="P677" s="29"/>
      <c r="Q677" s="37"/>
      <c r="R677" s="37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</row>
    <row r="678" spans="2:30">
      <c r="B678" s="29"/>
      <c r="C678" s="29"/>
      <c r="D678" s="36"/>
      <c r="E678" s="37"/>
      <c r="F678" s="36"/>
      <c r="G678" s="37"/>
      <c r="H678" s="37"/>
      <c r="I678" s="37"/>
      <c r="J678" s="37"/>
      <c r="K678" s="37"/>
      <c r="L678" s="37"/>
      <c r="M678" s="37"/>
      <c r="N678" s="29"/>
      <c r="O678" s="37"/>
      <c r="P678" s="29"/>
      <c r="Q678" s="37"/>
      <c r="R678" s="37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</row>
    <row r="679" spans="2:30">
      <c r="B679" s="29"/>
      <c r="C679" s="29"/>
      <c r="D679" s="36"/>
      <c r="E679" s="37"/>
      <c r="F679" s="36"/>
      <c r="G679" s="37"/>
      <c r="H679" s="37"/>
      <c r="I679" s="37"/>
      <c r="J679" s="37"/>
      <c r="K679" s="37"/>
      <c r="L679" s="37"/>
      <c r="M679" s="37"/>
      <c r="N679" s="29"/>
      <c r="O679" s="37"/>
      <c r="P679" s="29"/>
      <c r="Q679" s="37"/>
      <c r="R679" s="37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</row>
    <row r="680" spans="2:30">
      <c r="B680" s="29"/>
      <c r="C680" s="29"/>
      <c r="D680" s="36"/>
      <c r="E680" s="37"/>
      <c r="F680" s="36"/>
      <c r="G680" s="37"/>
      <c r="H680" s="37"/>
      <c r="I680" s="37"/>
      <c r="J680" s="37"/>
      <c r="K680" s="37"/>
      <c r="L680" s="37"/>
      <c r="M680" s="37"/>
      <c r="N680" s="29"/>
      <c r="O680" s="37"/>
      <c r="P680" s="29"/>
      <c r="Q680" s="37"/>
      <c r="R680" s="37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</row>
    <row r="681" spans="2:30">
      <c r="B681" s="29"/>
      <c r="C681" s="29"/>
      <c r="D681" s="36"/>
      <c r="E681" s="37"/>
      <c r="F681" s="36"/>
      <c r="G681" s="37"/>
      <c r="H681" s="37"/>
      <c r="I681" s="37"/>
      <c r="J681" s="37"/>
      <c r="K681" s="37"/>
      <c r="L681" s="37"/>
      <c r="M681" s="37"/>
      <c r="N681" s="29"/>
      <c r="O681" s="37"/>
      <c r="P681" s="29"/>
      <c r="Q681" s="37"/>
      <c r="R681" s="37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</row>
    <row r="682" spans="2:30">
      <c r="B682" s="29"/>
      <c r="C682" s="29"/>
      <c r="D682" s="36"/>
      <c r="E682" s="37"/>
      <c r="F682" s="36"/>
      <c r="G682" s="37"/>
      <c r="H682" s="37"/>
      <c r="I682" s="37"/>
      <c r="J682" s="37"/>
      <c r="K682" s="37"/>
      <c r="L682" s="37"/>
      <c r="M682" s="37"/>
      <c r="N682" s="29"/>
      <c r="O682" s="37"/>
      <c r="P682" s="29"/>
      <c r="Q682" s="37"/>
      <c r="R682" s="37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</row>
    <row r="683" spans="2:30">
      <c r="B683" s="29"/>
      <c r="C683" s="29"/>
      <c r="D683" s="36"/>
      <c r="E683" s="37"/>
      <c r="F683" s="36"/>
      <c r="G683" s="37"/>
      <c r="H683" s="37"/>
      <c r="I683" s="37"/>
      <c r="J683" s="37"/>
      <c r="K683" s="37"/>
      <c r="L683" s="37"/>
      <c r="M683" s="37"/>
      <c r="N683" s="29"/>
      <c r="O683" s="37"/>
      <c r="P683" s="29"/>
      <c r="Q683" s="37"/>
      <c r="R683" s="37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</row>
    <row r="684" spans="2:30">
      <c r="B684" s="29"/>
      <c r="C684" s="29"/>
      <c r="D684" s="36"/>
      <c r="E684" s="37"/>
      <c r="F684" s="36"/>
      <c r="G684" s="37"/>
      <c r="H684" s="37"/>
      <c r="I684" s="37"/>
      <c r="J684" s="37"/>
      <c r="K684" s="37"/>
      <c r="L684" s="37"/>
      <c r="M684" s="37"/>
      <c r="N684" s="29"/>
      <c r="O684" s="37"/>
      <c r="P684" s="29"/>
      <c r="Q684" s="37"/>
      <c r="R684" s="37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</row>
    <row r="685" spans="2:30">
      <c r="B685" s="29"/>
      <c r="C685" s="29"/>
      <c r="D685" s="36"/>
      <c r="E685" s="37"/>
      <c r="F685" s="36"/>
      <c r="G685" s="37"/>
      <c r="H685" s="37"/>
      <c r="I685" s="37"/>
      <c r="J685" s="37"/>
      <c r="K685" s="37"/>
      <c r="L685" s="37"/>
      <c r="M685" s="37"/>
      <c r="N685" s="29"/>
      <c r="O685" s="37"/>
      <c r="P685" s="29"/>
      <c r="Q685" s="37"/>
      <c r="R685" s="37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</row>
    <row r="686" spans="2:30">
      <c r="B686" s="29"/>
      <c r="C686" s="29"/>
      <c r="D686" s="36"/>
      <c r="E686" s="37"/>
      <c r="F686" s="36"/>
      <c r="G686" s="37"/>
      <c r="H686" s="37"/>
      <c r="I686" s="37"/>
      <c r="J686" s="37"/>
      <c r="K686" s="37"/>
      <c r="L686" s="37"/>
      <c r="M686" s="37"/>
      <c r="N686" s="29"/>
      <c r="O686" s="37"/>
      <c r="P686" s="29"/>
      <c r="Q686" s="37"/>
      <c r="R686" s="37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</row>
    <row r="687" spans="2:30">
      <c r="B687" s="29"/>
      <c r="C687" s="29"/>
      <c r="D687" s="36"/>
      <c r="E687" s="37"/>
      <c r="F687" s="36"/>
      <c r="G687" s="37"/>
      <c r="H687" s="37"/>
      <c r="I687" s="37"/>
      <c r="J687" s="37"/>
      <c r="K687" s="37"/>
      <c r="L687" s="37"/>
      <c r="M687" s="37"/>
      <c r="N687" s="29"/>
      <c r="O687" s="37"/>
      <c r="P687" s="29"/>
      <c r="Q687" s="37"/>
      <c r="R687" s="37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</row>
    <row r="688" spans="2:30">
      <c r="B688" s="29"/>
      <c r="C688" s="29"/>
      <c r="D688" s="36"/>
      <c r="E688" s="37"/>
      <c r="F688" s="36"/>
      <c r="G688" s="37"/>
      <c r="H688" s="37"/>
      <c r="I688" s="37"/>
      <c r="J688" s="37"/>
      <c r="K688" s="37"/>
      <c r="L688" s="37"/>
      <c r="M688" s="37"/>
      <c r="N688" s="29"/>
      <c r="O688" s="37"/>
      <c r="P688" s="29"/>
      <c r="Q688" s="37"/>
      <c r="R688" s="37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</row>
    <row r="689" spans="2:30">
      <c r="B689" s="29"/>
      <c r="C689" s="29"/>
      <c r="D689" s="36"/>
      <c r="E689" s="37"/>
      <c r="F689" s="36"/>
      <c r="G689" s="37"/>
      <c r="H689" s="37"/>
      <c r="I689" s="37"/>
      <c r="J689" s="37"/>
      <c r="K689" s="37"/>
      <c r="L689" s="37"/>
      <c r="M689" s="37"/>
      <c r="N689" s="29"/>
      <c r="O689" s="37"/>
      <c r="P689" s="29"/>
      <c r="Q689" s="37"/>
      <c r="R689" s="37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</row>
    <row r="690" spans="2:30">
      <c r="B690" s="29"/>
      <c r="C690" s="29"/>
      <c r="D690" s="36"/>
      <c r="E690" s="37"/>
      <c r="F690" s="36"/>
      <c r="G690" s="37"/>
      <c r="H690" s="37"/>
      <c r="I690" s="37"/>
      <c r="J690" s="37"/>
      <c r="K690" s="37"/>
      <c r="L690" s="37"/>
      <c r="M690" s="37"/>
      <c r="N690" s="29"/>
      <c r="O690" s="37"/>
      <c r="P690" s="29"/>
      <c r="Q690" s="37"/>
      <c r="R690" s="37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</row>
    <row r="691" spans="2:30">
      <c r="B691" s="29"/>
      <c r="C691" s="29"/>
      <c r="D691" s="36"/>
      <c r="E691" s="37"/>
      <c r="F691" s="36"/>
      <c r="G691" s="37"/>
      <c r="H691" s="37"/>
      <c r="I691" s="37"/>
      <c r="J691" s="37"/>
      <c r="K691" s="37"/>
      <c r="L691" s="37"/>
      <c r="M691" s="37"/>
      <c r="N691" s="29"/>
      <c r="O691" s="37"/>
      <c r="P691" s="29"/>
      <c r="Q691" s="37"/>
      <c r="R691" s="37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</row>
    <row r="692" spans="2:30">
      <c r="B692" s="29"/>
      <c r="C692" s="29"/>
      <c r="D692" s="36"/>
      <c r="E692" s="37"/>
      <c r="F692" s="36"/>
      <c r="G692" s="37"/>
      <c r="H692" s="37"/>
      <c r="I692" s="37"/>
      <c r="J692" s="37"/>
      <c r="K692" s="37"/>
      <c r="L692" s="37"/>
      <c r="M692" s="37"/>
      <c r="N692" s="29"/>
      <c r="O692" s="37"/>
      <c r="P692" s="29"/>
      <c r="Q692" s="37"/>
      <c r="R692" s="37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</row>
    <row r="693" spans="2:30">
      <c r="B693" s="29"/>
      <c r="C693" s="29"/>
      <c r="D693" s="36"/>
      <c r="E693" s="37"/>
      <c r="F693" s="36"/>
      <c r="G693" s="37"/>
      <c r="H693" s="37"/>
      <c r="I693" s="37"/>
      <c r="J693" s="37"/>
      <c r="K693" s="37"/>
      <c r="L693" s="37"/>
      <c r="M693" s="37"/>
      <c r="N693" s="29"/>
      <c r="O693" s="37"/>
      <c r="P693" s="29"/>
      <c r="Q693" s="37"/>
      <c r="R693" s="37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</row>
    <row r="694" spans="2:30">
      <c r="B694" s="29"/>
      <c r="C694" s="29"/>
      <c r="D694" s="36"/>
      <c r="E694" s="37"/>
      <c r="F694" s="36"/>
      <c r="G694" s="37"/>
      <c r="H694" s="37"/>
      <c r="I694" s="37"/>
      <c r="J694" s="37"/>
      <c r="K694" s="37"/>
      <c r="L694" s="37"/>
      <c r="M694" s="37"/>
      <c r="N694" s="29"/>
      <c r="O694" s="37"/>
      <c r="P694" s="29"/>
      <c r="Q694" s="37"/>
      <c r="R694" s="37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</row>
    <row r="695" spans="2:30">
      <c r="B695" s="29"/>
      <c r="C695" s="29"/>
      <c r="D695" s="36"/>
      <c r="E695" s="37"/>
      <c r="F695" s="36"/>
      <c r="G695" s="37"/>
      <c r="H695" s="37"/>
      <c r="I695" s="37"/>
      <c r="J695" s="37"/>
      <c r="K695" s="37"/>
      <c r="L695" s="37"/>
      <c r="M695" s="37"/>
      <c r="N695" s="29"/>
      <c r="O695" s="37"/>
      <c r="P695" s="29"/>
      <c r="Q695" s="37"/>
      <c r="R695" s="37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</row>
    <row r="696" spans="2:30">
      <c r="B696" s="29"/>
      <c r="C696" s="29"/>
      <c r="D696" s="36"/>
      <c r="E696" s="37"/>
      <c r="F696" s="36"/>
      <c r="G696" s="37"/>
      <c r="H696" s="37"/>
      <c r="I696" s="37"/>
      <c r="J696" s="37"/>
      <c r="K696" s="37"/>
      <c r="L696" s="37"/>
      <c r="M696" s="37"/>
      <c r="N696" s="29"/>
      <c r="O696" s="37"/>
      <c r="P696" s="29"/>
      <c r="Q696" s="37"/>
      <c r="R696" s="37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</row>
    <row r="697" spans="2:30">
      <c r="B697" s="29"/>
      <c r="C697" s="29"/>
      <c r="D697" s="36"/>
      <c r="E697" s="37"/>
      <c r="F697" s="36"/>
      <c r="G697" s="37"/>
      <c r="H697" s="37"/>
      <c r="I697" s="37"/>
      <c r="J697" s="37"/>
      <c r="K697" s="37"/>
      <c r="L697" s="37"/>
      <c r="M697" s="37"/>
      <c r="N697" s="29"/>
      <c r="O697" s="37"/>
      <c r="P697" s="29"/>
      <c r="Q697" s="37"/>
      <c r="R697" s="37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</row>
    <row r="698" spans="2:30">
      <c r="B698" s="29"/>
      <c r="C698" s="29"/>
      <c r="D698" s="36"/>
      <c r="E698" s="37"/>
      <c r="F698" s="36"/>
      <c r="G698" s="37"/>
      <c r="H698" s="37"/>
      <c r="I698" s="37"/>
      <c r="J698" s="37"/>
      <c r="K698" s="37"/>
      <c r="L698" s="37"/>
      <c r="M698" s="37"/>
      <c r="N698" s="29"/>
      <c r="O698" s="37"/>
      <c r="P698" s="29"/>
      <c r="Q698" s="37"/>
      <c r="R698" s="37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</row>
    <row r="699" spans="2:30">
      <c r="B699" s="29"/>
      <c r="C699" s="29"/>
      <c r="D699" s="36"/>
      <c r="E699" s="37"/>
      <c r="F699" s="36"/>
      <c r="G699" s="37"/>
      <c r="H699" s="37"/>
      <c r="I699" s="37"/>
      <c r="J699" s="37"/>
      <c r="K699" s="37"/>
      <c r="L699" s="37"/>
      <c r="M699" s="37"/>
      <c r="N699" s="29"/>
      <c r="O699" s="37"/>
      <c r="P699" s="29"/>
      <c r="Q699" s="37"/>
      <c r="R699" s="37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</row>
    <row r="700" spans="2:30">
      <c r="B700" s="29"/>
      <c r="C700" s="29"/>
      <c r="D700" s="36"/>
      <c r="E700" s="37"/>
      <c r="F700" s="36"/>
      <c r="G700" s="37"/>
      <c r="H700" s="37"/>
      <c r="I700" s="37"/>
      <c r="J700" s="37"/>
      <c r="K700" s="37"/>
      <c r="L700" s="37"/>
      <c r="M700" s="37"/>
      <c r="N700" s="29"/>
      <c r="O700" s="37"/>
      <c r="P700" s="29"/>
      <c r="Q700" s="37"/>
      <c r="R700" s="37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</row>
    <row r="701" spans="2:30">
      <c r="B701" s="29"/>
      <c r="C701" s="29"/>
      <c r="D701" s="36"/>
      <c r="E701" s="37"/>
      <c r="F701" s="36"/>
      <c r="G701" s="37"/>
      <c r="H701" s="37"/>
      <c r="I701" s="37"/>
      <c r="J701" s="37"/>
      <c r="K701" s="37"/>
      <c r="L701" s="37"/>
      <c r="M701" s="37"/>
      <c r="N701" s="29"/>
      <c r="O701" s="37"/>
      <c r="P701" s="29"/>
      <c r="Q701" s="37"/>
      <c r="R701" s="37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</row>
    <row r="702" spans="2:30">
      <c r="B702" s="29"/>
      <c r="C702" s="29"/>
      <c r="D702" s="36"/>
      <c r="E702" s="37"/>
      <c r="F702" s="36"/>
      <c r="G702" s="37"/>
      <c r="H702" s="37"/>
      <c r="I702" s="37"/>
      <c r="J702" s="37"/>
      <c r="K702" s="37"/>
      <c r="L702" s="37"/>
      <c r="M702" s="37"/>
      <c r="N702" s="29"/>
      <c r="O702" s="37"/>
      <c r="P702" s="29"/>
      <c r="Q702" s="37"/>
      <c r="R702" s="37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</row>
    <row r="703" spans="2:30">
      <c r="B703" s="29"/>
      <c r="C703" s="29"/>
      <c r="D703" s="36"/>
      <c r="E703" s="37"/>
      <c r="F703" s="36"/>
      <c r="G703" s="37"/>
      <c r="H703" s="37"/>
      <c r="I703" s="37"/>
      <c r="J703" s="37"/>
      <c r="K703" s="37"/>
      <c r="L703" s="37"/>
      <c r="M703" s="37"/>
      <c r="N703" s="29"/>
      <c r="O703" s="37"/>
      <c r="P703" s="29"/>
      <c r="Q703" s="37"/>
      <c r="R703" s="37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</row>
    <row r="704" spans="2:30">
      <c r="B704" s="29"/>
      <c r="C704" s="29"/>
      <c r="D704" s="36"/>
      <c r="E704" s="37"/>
      <c r="F704" s="36"/>
      <c r="G704" s="37"/>
      <c r="H704" s="37"/>
      <c r="I704" s="37"/>
      <c r="J704" s="37"/>
      <c r="K704" s="37"/>
      <c r="L704" s="37"/>
      <c r="M704" s="37"/>
      <c r="N704" s="29"/>
      <c r="O704" s="37"/>
      <c r="P704" s="29"/>
      <c r="Q704" s="37"/>
      <c r="R704" s="37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</row>
    <row r="705" spans="2:30">
      <c r="B705" s="29"/>
      <c r="C705" s="29"/>
      <c r="D705" s="36"/>
      <c r="E705" s="37"/>
      <c r="F705" s="36"/>
      <c r="G705" s="37"/>
      <c r="H705" s="37"/>
      <c r="I705" s="37"/>
      <c r="J705" s="37"/>
      <c r="K705" s="37"/>
      <c r="L705" s="37"/>
      <c r="M705" s="37"/>
      <c r="N705" s="29"/>
      <c r="O705" s="37"/>
      <c r="P705" s="29"/>
      <c r="Q705" s="37"/>
      <c r="R705" s="37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</row>
    <row r="706" spans="2:30">
      <c r="B706" s="29"/>
      <c r="C706" s="29"/>
      <c r="D706" s="36"/>
      <c r="E706" s="37"/>
      <c r="F706" s="36"/>
      <c r="G706" s="37"/>
      <c r="H706" s="37"/>
      <c r="I706" s="37"/>
      <c r="J706" s="37"/>
      <c r="K706" s="37"/>
      <c r="L706" s="37"/>
      <c r="M706" s="37"/>
      <c r="N706" s="29"/>
      <c r="O706" s="37"/>
      <c r="P706" s="29"/>
      <c r="Q706" s="37"/>
      <c r="R706" s="37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</row>
    <row r="707" spans="2:30">
      <c r="B707" s="29"/>
      <c r="C707" s="29"/>
      <c r="D707" s="36"/>
      <c r="E707" s="37"/>
      <c r="F707" s="36"/>
      <c r="G707" s="37"/>
      <c r="H707" s="37"/>
      <c r="I707" s="37"/>
      <c r="J707" s="37"/>
      <c r="K707" s="37"/>
      <c r="L707" s="37"/>
      <c r="M707" s="37"/>
      <c r="N707" s="29"/>
      <c r="O707" s="37"/>
      <c r="P707" s="29"/>
      <c r="Q707" s="37"/>
      <c r="R707" s="37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</row>
    <row r="708" spans="2:30">
      <c r="B708" s="29"/>
      <c r="C708" s="29"/>
      <c r="D708" s="36"/>
      <c r="E708" s="37"/>
      <c r="F708" s="36"/>
      <c r="G708" s="37"/>
      <c r="H708" s="37"/>
      <c r="I708" s="37"/>
      <c r="J708" s="37"/>
      <c r="K708" s="37"/>
      <c r="L708" s="37"/>
      <c r="M708" s="37"/>
      <c r="N708" s="29"/>
      <c r="O708" s="37"/>
      <c r="P708" s="29"/>
      <c r="Q708" s="37"/>
      <c r="R708" s="37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</row>
    <row r="709" spans="2:30">
      <c r="B709" s="29"/>
      <c r="C709" s="29"/>
      <c r="D709" s="36"/>
      <c r="E709" s="37"/>
      <c r="F709" s="36"/>
      <c r="G709" s="37"/>
      <c r="H709" s="37"/>
      <c r="I709" s="37"/>
      <c r="J709" s="37"/>
      <c r="K709" s="37"/>
      <c r="L709" s="37"/>
      <c r="M709" s="37"/>
      <c r="N709" s="29"/>
      <c r="O709" s="37"/>
      <c r="P709" s="29"/>
      <c r="Q709" s="37"/>
      <c r="R709" s="37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</row>
    <row r="710" spans="2:30">
      <c r="B710" s="29"/>
      <c r="C710" s="29"/>
      <c r="D710" s="36"/>
      <c r="E710" s="37"/>
      <c r="F710" s="36"/>
      <c r="G710" s="37"/>
      <c r="H710" s="37"/>
      <c r="I710" s="37"/>
      <c r="J710" s="37"/>
      <c r="K710" s="37"/>
      <c r="L710" s="37"/>
      <c r="M710" s="37"/>
      <c r="N710" s="29"/>
      <c r="O710" s="37"/>
      <c r="P710" s="29"/>
      <c r="Q710" s="37"/>
      <c r="R710" s="37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</row>
    <row r="711" spans="2:30">
      <c r="B711" s="29"/>
      <c r="C711" s="29"/>
      <c r="D711" s="36"/>
      <c r="E711" s="37"/>
      <c r="F711" s="36"/>
      <c r="G711" s="37"/>
      <c r="H711" s="37"/>
      <c r="I711" s="37"/>
      <c r="J711" s="37"/>
      <c r="K711" s="37"/>
      <c r="L711" s="37"/>
      <c r="M711" s="37"/>
      <c r="N711" s="29"/>
      <c r="O711" s="37"/>
      <c r="P711" s="29"/>
      <c r="Q711" s="37"/>
      <c r="R711" s="37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</row>
    <row r="712" spans="2:30">
      <c r="B712" s="29"/>
      <c r="C712" s="29"/>
      <c r="D712" s="36"/>
      <c r="E712" s="37"/>
      <c r="F712" s="36"/>
      <c r="G712" s="37"/>
      <c r="H712" s="37"/>
      <c r="I712" s="37"/>
      <c r="J712" s="37"/>
      <c r="K712" s="37"/>
      <c r="L712" s="37"/>
      <c r="M712" s="37"/>
      <c r="N712" s="29"/>
      <c r="O712" s="37"/>
      <c r="P712" s="29"/>
      <c r="Q712" s="37"/>
      <c r="R712" s="37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</row>
    <row r="713" spans="2:30">
      <c r="B713" s="29"/>
      <c r="C713" s="29"/>
      <c r="D713" s="36"/>
      <c r="E713" s="37"/>
      <c r="F713" s="36"/>
      <c r="G713" s="37"/>
      <c r="H713" s="37"/>
      <c r="I713" s="37"/>
      <c r="J713" s="37"/>
      <c r="K713" s="37"/>
      <c r="L713" s="37"/>
      <c r="M713" s="37"/>
      <c r="N713" s="29"/>
      <c r="O713" s="37"/>
      <c r="P713" s="29"/>
      <c r="Q713" s="37"/>
      <c r="R713" s="37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</row>
    <row r="714" spans="2:30">
      <c r="B714" s="29"/>
      <c r="C714" s="29"/>
      <c r="D714" s="36"/>
      <c r="E714" s="37"/>
      <c r="F714" s="36"/>
      <c r="G714" s="37"/>
      <c r="H714" s="37"/>
      <c r="I714" s="37"/>
      <c r="J714" s="37"/>
      <c r="K714" s="37"/>
      <c r="L714" s="37"/>
      <c r="M714" s="37"/>
      <c r="N714" s="29"/>
      <c r="O714" s="37"/>
      <c r="P714" s="29"/>
      <c r="Q714" s="37"/>
      <c r="R714" s="37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</row>
    <row r="715" spans="2:30">
      <c r="B715" s="29"/>
      <c r="C715" s="29"/>
      <c r="D715" s="36"/>
      <c r="E715" s="37"/>
      <c r="F715" s="36"/>
      <c r="G715" s="37"/>
      <c r="H715" s="37"/>
      <c r="I715" s="37"/>
      <c r="J715" s="37"/>
      <c r="K715" s="37"/>
      <c r="L715" s="37"/>
      <c r="M715" s="37"/>
      <c r="N715" s="29"/>
      <c r="O715" s="37"/>
      <c r="P715" s="29"/>
      <c r="Q715" s="37"/>
      <c r="R715" s="37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</row>
    <row r="716" spans="2:30">
      <c r="B716" s="29"/>
      <c r="C716" s="29"/>
      <c r="D716" s="36"/>
      <c r="E716" s="37"/>
      <c r="F716" s="36"/>
      <c r="G716" s="37"/>
      <c r="H716" s="37"/>
      <c r="I716" s="37"/>
      <c r="J716" s="37"/>
      <c r="K716" s="37"/>
      <c r="L716" s="37"/>
      <c r="M716" s="37"/>
      <c r="N716" s="29"/>
      <c r="O716" s="37"/>
      <c r="P716" s="29"/>
      <c r="Q716" s="37"/>
      <c r="R716" s="37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</row>
    <row r="717" spans="2:30">
      <c r="B717" s="29"/>
      <c r="C717" s="29"/>
      <c r="D717" s="36"/>
      <c r="E717" s="37"/>
      <c r="F717" s="36"/>
      <c r="G717" s="37"/>
      <c r="H717" s="37"/>
      <c r="I717" s="37"/>
      <c r="J717" s="37"/>
      <c r="K717" s="37"/>
      <c r="L717" s="37"/>
      <c r="M717" s="37"/>
      <c r="N717" s="29"/>
      <c r="O717" s="37"/>
      <c r="P717" s="29"/>
      <c r="Q717" s="37"/>
      <c r="R717" s="37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</row>
    <row r="718" spans="2:30">
      <c r="B718" s="29"/>
      <c r="C718" s="29"/>
      <c r="D718" s="36"/>
      <c r="E718" s="37"/>
      <c r="F718" s="36"/>
      <c r="G718" s="37"/>
      <c r="H718" s="37"/>
      <c r="I718" s="37"/>
      <c r="J718" s="37"/>
      <c r="K718" s="37"/>
      <c r="L718" s="37"/>
      <c r="M718" s="37"/>
      <c r="N718" s="29"/>
      <c r="O718" s="37"/>
      <c r="P718" s="29"/>
      <c r="Q718" s="37"/>
      <c r="R718" s="37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</row>
    <row r="719" spans="2:30">
      <c r="B719" s="29"/>
      <c r="C719" s="29"/>
      <c r="D719" s="36"/>
      <c r="E719" s="37"/>
      <c r="F719" s="36"/>
      <c r="G719" s="37"/>
      <c r="H719" s="37"/>
      <c r="I719" s="37"/>
      <c r="J719" s="37"/>
      <c r="K719" s="37"/>
      <c r="L719" s="37"/>
      <c r="M719" s="37"/>
      <c r="N719" s="29"/>
      <c r="O719" s="37"/>
      <c r="P719" s="29"/>
      <c r="Q719" s="37"/>
      <c r="R719" s="37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</row>
    <row r="720" spans="2:30">
      <c r="B720" s="29"/>
      <c r="C720" s="29"/>
      <c r="D720" s="36"/>
      <c r="E720" s="37"/>
      <c r="F720" s="36"/>
      <c r="G720" s="37"/>
      <c r="H720" s="37"/>
      <c r="I720" s="37"/>
      <c r="J720" s="37"/>
      <c r="K720" s="37"/>
      <c r="L720" s="37"/>
      <c r="M720" s="37"/>
      <c r="N720" s="29"/>
      <c r="O720" s="37"/>
      <c r="P720" s="29"/>
      <c r="Q720" s="37"/>
      <c r="R720" s="37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</row>
    <row r="721" spans="2:30">
      <c r="B721" s="29"/>
      <c r="C721" s="29"/>
      <c r="D721" s="36"/>
      <c r="E721" s="37"/>
      <c r="F721" s="36"/>
      <c r="G721" s="37"/>
      <c r="H721" s="37"/>
      <c r="I721" s="37"/>
      <c r="J721" s="37"/>
      <c r="K721" s="37"/>
      <c r="L721" s="37"/>
      <c r="M721" s="37"/>
      <c r="N721" s="29"/>
      <c r="O721" s="37"/>
      <c r="P721" s="29"/>
      <c r="Q721" s="37"/>
      <c r="R721" s="37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</row>
    <row r="722" spans="2:30">
      <c r="B722" s="29"/>
      <c r="C722" s="29"/>
      <c r="D722" s="36"/>
      <c r="E722" s="37"/>
      <c r="F722" s="36"/>
      <c r="G722" s="37"/>
      <c r="H722" s="37"/>
      <c r="I722" s="37"/>
      <c r="J722" s="37"/>
      <c r="K722" s="37"/>
      <c r="L722" s="37"/>
      <c r="M722" s="37"/>
      <c r="N722" s="29"/>
      <c r="O722" s="37"/>
      <c r="P722" s="29"/>
      <c r="Q722" s="37"/>
      <c r="R722" s="37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</row>
    <row r="723" spans="2:30">
      <c r="B723" s="29"/>
      <c r="C723" s="29"/>
      <c r="D723" s="36"/>
      <c r="E723" s="37"/>
      <c r="F723" s="36"/>
      <c r="G723" s="37"/>
      <c r="H723" s="37"/>
      <c r="I723" s="37"/>
      <c r="J723" s="37"/>
      <c r="K723" s="37"/>
      <c r="L723" s="37"/>
      <c r="M723" s="37"/>
      <c r="N723" s="29"/>
      <c r="O723" s="37"/>
      <c r="P723" s="29"/>
      <c r="Q723" s="37"/>
      <c r="R723" s="37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</row>
    <row r="724" spans="2:30">
      <c r="B724" s="29"/>
      <c r="C724" s="29"/>
      <c r="D724" s="36"/>
      <c r="E724" s="37"/>
      <c r="F724" s="36"/>
      <c r="G724" s="37"/>
      <c r="H724" s="37"/>
      <c r="I724" s="37"/>
      <c r="J724" s="37"/>
      <c r="K724" s="37"/>
      <c r="L724" s="37"/>
      <c r="M724" s="37"/>
      <c r="N724" s="29"/>
      <c r="O724" s="37"/>
      <c r="P724" s="29"/>
      <c r="Q724" s="37"/>
      <c r="R724" s="37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</row>
    <row r="725" spans="2:30">
      <c r="B725" s="29"/>
      <c r="C725" s="29"/>
      <c r="D725" s="36"/>
      <c r="E725" s="37"/>
      <c r="F725" s="36"/>
      <c r="G725" s="37"/>
      <c r="H725" s="37"/>
      <c r="I725" s="37"/>
      <c r="J725" s="37"/>
      <c r="K725" s="37"/>
      <c r="L725" s="37"/>
      <c r="M725" s="37"/>
      <c r="N725" s="29"/>
      <c r="O725" s="37"/>
      <c r="P725" s="29"/>
      <c r="Q725" s="37"/>
      <c r="R725" s="37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</row>
    <row r="726" spans="2:30">
      <c r="B726" s="29"/>
      <c r="C726" s="29"/>
      <c r="D726" s="36"/>
      <c r="E726" s="37"/>
      <c r="F726" s="36"/>
      <c r="G726" s="37"/>
      <c r="H726" s="37"/>
      <c r="I726" s="37"/>
      <c r="J726" s="37"/>
      <c r="K726" s="37"/>
      <c r="L726" s="37"/>
      <c r="M726" s="37"/>
      <c r="N726" s="29"/>
      <c r="O726" s="37"/>
      <c r="P726" s="29"/>
      <c r="Q726" s="37"/>
      <c r="R726" s="37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</row>
    <row r="727" spans="2:30">
      <c r="B727" s="29"/>
      <c r="C727" s="29"/>
      <c r="D727" s="36"/>
      <c r="E727" s="37"/>
      <c r="F727" s="36"/>
      <c r="G727" s="37"/>
      <c r="H727" s="37"/>
      <c r="I727" s="37"/>
      <c r="J727" s="37"/>
      <c r="K727" s="37"/>
      <c r="L727" s="37"/>
      <c r="M727" s="37"/>
      <c r="N727" s="29"/>
      <c r="O727" s="37"/>
      <c r="P727" s="29"/>
      <c r="Q727" s="37"/>
      <c r="R727" s="37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</row>
    <row r="728" spans="2:30">
      <c r="B728" s="29"/>
      <c r="G728" s="37"/>
      <c r="H728" s="37"/>
      <c r="I728" s="37"/>
      <c r="J728" s="37"/>
      <c r="K728" s="37"/>
      <c r="L728" s="37"/>
      <c r="M728" s="37"/>
      <c r="N728" s="29"/>
      <c r="O728" s="37"/>
      <c r="P728" s="29"/>
      <c r="Q728" s="37"/>
      <c r="R728" s="37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</row>
    <row r="729" spans="2:30">
      <c r="B729" s="29"/>
      <c r="G729" s="37"/>
      <c r="H729" s="37"/>
      <c r="I729" s="37"/>
      <c r="J729" s="37"/>
      <c r="K729" s="37"/>
      <c r="L729" s="37"/>
      <c r="M729" s="37"/>
      <c r="N729" s="29"/>
      <c r="O729" s="37"/>
      <c r="P729" s="29"/>
      <c r="Q729" s="37"/>
      <c r="R729" s="37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</row>
    <row r="730" spans="2:30">
      <c r="B730" s="29"/>
      <c r="G730" s="37"/>
      <c r="H730" s="37"/>
      <c r="I730" s="37"/>
      <c r="J730" s="37"/>
      <c r="K730" s="37"/>
      <c r="L730" s="37"/>
      <c r="M730" s="37"/>
      <c r="N730" s="29"/>
      <c r="O730" s="37"/>
      <c r="P730" s="29"/>
      <c r="Q730" s="37"/>
      <c r="R730" s="37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</row>
    <row r="731" spans="2:30">
      <c r="B731" s="29"/>
      <c r="G731" s="37"/>
      <c r="H731" s="37"/>
      <c r="I731" s="37"/>
      <c r="J731" s="37"/>
      <c r="K731" s="37"/>
      <c r="L731" s="37"/>
      <c r="M731" s="37"/>
      <c r="N731" s="29"/>
      <c r="O731" s="37"/>
      <c r="P731" s="29"/>
      <c r="Q731" s="37"/>
      <c r="R731" s="37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</row>
    <row r="732" spans="2:30">
      <c r="B732" s="29"/>
      <c r="G732" s="37"/>
      <c r="H732" s="37"/>
      <c r="I732" s="37"/>
      <c r="J732" s="37"/>
      <c r="K732" s="37"/>
      <c r="L732" s="37"/>
      <c r="M732" s="37"/>
      <c r="N732" s="29"/>
      <c r="O732" s="37"/>
      <c r="P732" s="29"/>
      <c r="Q732" s="37"/>
      <c r="R732" s="37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</row>
    <row r="733" spans="2:30">
      <c r="B733" s="29"/>
      <c r="K733" s="37"/>
      <c r="L733" s="37"/>
      <c r="M733" s="37"/>
      <c r="N733" s="29"/>
      <c r="O733" s="37"/>
      <c r="P733" s="29"/>
      <c r="Q733" s="37"/>
      <c r="R733" s="37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</row>
    <row r="734" spans="2:30">
      <c r="B734" s="29"/>
      <c r="K734" s="37"/>
      <c r="L734" s="37"/>
      <c r="M734" s="37"/>
      <c r="N734" s="29"/>
      <c r="O734" s="37"/>
      <c r="P734" s="29"/>
      <c r="Q734" s="37"/>
      <c r="R734" s="37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</row>
    <row r="735" spans="2:30">
      <c r="B735" s="29"/>
      <c r="K735" s="37"/>
      <c r="L735" s="37"/>
      <c r="M735" s="37"/>
      <c r="N735" s="29"/>
      <c r="O735" s="37"/>
      <c r="P735" s="29"/>
      <c r="Q735" s="37"/>
      <c r="R735" s="37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</row>
    <row r="736" spans="2:30">
      <c r="B736" s="29"/>
      <c r="K736" s="37"/>
      <c r="L736" s="37"/>
      <c r="M736" s="37"/>
      <c r="N736" s="29"/>
      <c r="O736" s="37"/>
      <c r="P736" s="29"/>
      <c r="Q736" s="37"/>
      <c r="R736" s="37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</row>
    <row r="737" spans="2:30">
      <c r="B737" s="29"/>
      <c r="K737" s="37"/>
      <c r="L737" s="37"/>
      <c r="M737" s="37"/>
      <c r="N737" s="29"/>
      <c r="O737" s="37"/>
      <c r="P737" s="29"/>
      <c r="Q737" s="37"/>
      <c r="R737" s="37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</row>
    <row r="738" spans="2:30">
      <c r="B738" s="29"/>
      <c r="K738" s="37"/>
      <c r="L738" s="37"/>
      <c r="M738" s="37"/>
      <c r="N738" s="29"/>
      <c r="O738" s="37"/>
      <c r="P738" s="29"/>
      <c r="Q738" s="37"/>
      <c r="R738" s="37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</row>
    <row r="739" spans="2:30">
      <c r="B739" s="29"/>
      <c r="K739" s="37"/>
      <c r="L739" s="37"/>
      <c r="M739" s="37"/>
      <c r="N739" s="29"/>
      <c r="O739" s="37"/>
      <c r="P739" s="29"/>
      <c r="Q739" s="37"/>
      <c r="R739" s="37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</row>
    <row r="740" spans="2:30">
      <c r="B740" s="29"/>
      <c r="K740" s="37"/>
      <c r="L740" s="37"/>
      <c r="M740" s="37"/>
      <c r="N740" s="29"/>
      <c r="O740" s="37"/>
      <c r="P740" s="29"/>
      <c r="Q740" s="37"/>
      <c r="R740" s="37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</row>
    <row r="741" spans="2:30">
      <c r="B741" s="29"/>
      <c r="K741" s="37"/>
      <c r="L741" s="37"/>
      <c r="M741" s="37"/>
      <c r="N741" s="29"/>
      <c r="O741" s="37"/>
      <c r="P741" s="29"/>
      <c r="Q741" s="37"/>
      <c r="R741" s="37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</row>
    <row r="742" spans="2:30">
      <c r="B742" s="29"/>
      <c r="K742" s="37"/>
      <c r="L742" s="37"/>
      <c r="M742" s="37"/>
      <c r="N742" s="29"/>
      <c r="O742" s="37"/>
      <c r="P742" s="29"/>
      <c r="Q742" s="37"/>
      <c r="R742" s="37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</row>
    <row r="743" spans="2:30">
      <c r="B743" s="29"/>
      <c r="N743" s="29"/>
      <c r="O743" s="37"/>
      <c r="P743" s="29"/>
      <c r="Q743" s="37"/>
      <c r="R743" s="37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</row>
    <row r="744" spans="2:30">
      <c r="B744" s="29"/>
      <c r="N744" s="29"/>
      <c r="O744" s="37"/>
      <c r="P744" s="29"/>
      <c r="Q744" s="37"/>
      <c r="R744" s="37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</row>
    <row r="745" spans="2:30">
      <c r="B745" s="29"/>
      <c r="N745" s="29"/>
      <c r="O745" s="37"/>
      <c r="P745" s="29"/>
      <c r="Q745" s="37"/>
      <c r="R745" s="37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</row>
    <row r="746" spans="2:30">
      <c r="B746" s="29"/>
      <c r="N746" s="29"/>
      <c r="O746" s="37"/>
      <c r="P746" s="29"/>
      <c r="Q746" s="37"/>
      <c r="R746" s="37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</row>
    <row r="747" spans="2:30">
      <c r="B747" s="29"/>
      <c r="N747" s="29"/>
      <c r="O747" s="37"/>
      <c r="P747" s="29"/>
      <c r="Q747" s="37"/>
      <c r="R747" s="37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</row>
    <row r="748" spans="2:30">
      <c r="B748" s="29"/>
      <c r="O748" s="37"/>
      <c r="P748" s="29"/>
      <c r="Q748" s="37"/>
      <c r="R748" s="37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</row>
    <row r="749" spans="2:30">
      <c r="B749" s="29"/>
      <c r="O749" s="37"/>
      <c r="P749" s="29"/>
      <c r="Q749" s="37"/>
      <c r="R749" s="37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</row>
    <row r="750" spans="2:30">
      <c r="B750" s="29"/>
      <c r="O750" s="37"/>
      <c r="P750" s="29"/>
      <c r="Q750" s="37"/>
      <c r="R750" s="37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</row>
    <row r="751" spans="2:30">
      <c r="B751" s="29"/>
      <c r="O751" s="37"/>
      <c r="P751" s="29"/>
      <c r="Q751" s="37"/>
      <c r="R751" s="37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</row>
    <row r="752" spans="2:30">
      <c r="B752" s="29"/>
      <c r="O752" s="37"/>
      <c r="P752" s="29"/>
      <c r="Q752" s="37"/>
      <c r="R752" s="37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</row>
    <row r="753" spans="2:30">
      <c r="B753" s="29"/>
      <c r="O753" s="37"/>
      <c r="P753" s="29"/>
      <c r="Q753" s="37"/>
      <c r="R753" s="37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</row>
    <row r="754" spans="2:30">
      <c r="B754" s="29"/>
      <c r="O754" s="37"/>
      <c r="P754" s="29"/>
      <c r="Q754" s="37"/>
      <c r="R754" s="37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</row>
    <row r="755" spans="2:30">
      <c r="B755" s="29"/>
      <c r="O755" s="37"/>
      <c r="P755" s="29"/>
      <c r="Q755" s="37"/>
      <c r="R755" s="37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</row>
    <row r="756" spans="2:30">
      <c r="B756" s="29"/>
      <c r="O756" s="37"/>
      <c r="P756" s="29"/>
      <c r="Q756" s="37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</row>
    <row r="757" spans="2:30">
      <c r="O757" s="37"/>
      <c r="P757" s="29"/>
      <c r="Q757" s="37"/>
    </row>
    <row r="758" spans="2:30">
      <c r="O758" s="37"/>
      <c r="P758" s="29"/>
      <c r="Q758" s="37"/>
    </row>
    <row r="759" spans="2:30">
      <c r="O759" s="37"/>
      <c r="P759" s="29"/>
      <c r="Q759" s="37"/>
    </row>
    <row r="760" spans="2:30">
      <c r="O760" s="37"/>
    </row>
  </sheetData>
  <mergeCells count="4">
    <mergeCell ref="B61:C61"/>
    <mergeCell ref="D3:E3"/>
    <mergeCell ref="I61:K61"/>
    <mergeCell ref="F3:J3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I59"/>
  <sheetViews>
    <sheetView zoomScale="71" zoomScaleNormal="71" workbookViewId="0"/>
  </sheetViews>
  <sheetFormatPr defaultColWidth="9" defaultRowHeight="12.75"/>
  <cols>
    <col min="1" max="1" width="9" style="24" customWidth="1"/>
    <col min="2" max="2" width="13.42578125" style="24" bestFit="1" customWidth="1"/>
    <col min="3" max="3" width="10.85546875" style="24" bestFit="1" customWidth="1"/>
    <col min="4" max="4" width="10.85546875" style="24" customWidth="1"/>
    <col min="5" max="6" width="10.7109375" style="27" customWidth="1"/>
    <col min="7" max="7" width="13.140625" style="24" customWidth="1"/>
    <col min="8" max="8" width="12.85546875" style="24" customWidth="1"/>
    <col min="9" max="9" width="13.7109375" style="28" customWidth="1"/>
    <col min="10" max="16384" width="9" style="24"/>
  </cols>
  <sheetData>
    <row r="2" spans="2:9" ht="15.75">
      <c r="B2" s="44"/>
      <c r="C2" s="44"/>
      <c r="D2" s="44"/>
      <c r="E2" s="45"/>
      <c r="F2" s="45"/>
      <c r="G2" s="44"/>
      <c r="H2" s="44"/>
      <c r="I2" s="46"/>
    </row>
    <row r="3" spans="2:9" ht="15.75">
      <c r="B3" s="44"/>
      <c r="C3" s="44"/>
      <c r="D3" s="44"/>
      <c r="E3" s="45"/>
      <c r="F3" s="45"/>
      <c r="G3" s="44"/>
      <c r="H3" s="44"/>
      <c r="I3" s="46"/>
    </row>
    <row r="4" spans="2:9" ht="15.75">
      <c r="B4" s="44" t="s">
        <v>30</v>
      </c>
      <c r="C4" s="44"/>
      <c r="D4" s="44"/>
      <c r="E4" s="45"/>
      <c r="F4" s="45"/>
      <c r="G4" s="44"/>
      <c r="H4" s="44"/>
      <c r="I4" s="46"/>
    </row>
    <row r="5" spans="2:9" ht="15.75">
      <c r="B5" s="47" t="str">
        <f>correcoes!B4</f>
        <v>tempo(ns)</v>
      </c>
      <c r="C5" s="48" t="str">
        <f>correcoes!C4</f>
        <v>medida</v>
      </c>
      <c r="D5" s="48" t="s">
        <v>63</v>
      </c>
      <c r="E5" s="49" t="s">
        <v>64</v>
      </c>
      <c r="F5" s="49" t="s">
        <v>65</v>
      </c>
      <c r="G5" s="44"/>
      <c r="H5" s="62" t="str">
        <f>B5</f>
        <v>tempo(ns)</v>
      </c>
      <c r="I5" s="63" t="s">
        <v>58</v>
      </c>
    </row>
    <row r="6" spans="2:9" ht="15.75">
      <c r="B6" s="53">
        <f>correcoes!B5</f>
        <v>0</v>
      </c>
      <c r="C6" s="53">
        <f>correcoes!C5</f>
        <v>1</v>
      </c>
      <c r="D6" s="53"/>
      <c r="E6" s="54">
        <v>43219</v>
      </c>
      <c r="F6" s="54">
        <v>102636</v>
      </c>
      <c r="G6" s="52"/>
      <c r="H6" s="54">
        <f>B6</f>
        <v>0</v>
      </c>
      <c r="I6" s="78">
        <f t="shared" ref="I6:I25" si="0">E6/F6</f>
        <v>0.42109006586382947</v>
      </c>
    </row>
    <row r="7" spans="2:9" ht="15.75">
      <c r="B7" s="53">
        <f>correcoes!B6</f>
        <v>0</v>
      </c>
      <c r="C7" s="53">
        <f>correcoes!C6</f>
        <v>2</v>
      </c>
      <c r="D7" s="53"/>
      <c r="E7" s="54">
        <v>59950</v>
      </c>
      <c r="F7" s="54">
        <v>141503</v>
      </c>
      <c r="G7" s="52"/>
      <c r="H7" s="54">
        <f t="shared" ref="H7:H25" si="1">B7</f>
        <v>0</v>
      </c>
      <c r="I7" s="78">
        <f t="shared" si="0"/>
        <v>0.42366592934425418</v>
      </c>
    </row>
    <row r="8" spans="2:9" ht="15.75">
      <c r="B8" s="50">
        <f>correcoes!B7</f>
        <v>100</v>
      </c>
      <c r="C8" s="50">
        <f>correcoes!C7</f>
        <v>3</v>
      </c>
      <c r="D8" s="50"/>
      <c r="E8" s="51">
        <v>35368</v>
      </c>
      <c r="F8" s="51">
        <v>92538</v>
      </c>
      <c r="G8" s="52"/>
      <c r="H8" s="51">
        <f t="shared" si="1"/>
        <v>100</v>
      </c>
      <c r="I8" s="79">
        <f t="shared" si="0"/>
        <v>0.3821997449696341</v>
      </c>
    </row>
    <row r="9" spans="2:9" ht="15.75">
      <c r="B9" s="50">
        <f>correcoes!B8</f>
        <v>100</v>
      </c>
      <c r="C9" s="50">
        <f>correcoes!C8</f>
        <v>4</v>
      </c>
      <c r="D9" s="50"/>
      <c r="E9" s="51">
        <v>42100</v>
      </c>
      <c r="F9" s="51">
        <v>109408</v>
      </c>
      <c r="G9" s="52"/>
      <c r="H9" s="51">
        <f t="shared" si="1"/>
        <v>100</v>
      </c>
      <c r="I9" s="79">
        <f t="shared" si="0"/>
        <v>0.38479818660427023</v>
      </c>
    </row>
    <row r="10" spans="2:9" ht="15.75">
      <c r="B10" s="53">
        <f>correcoes!B9</f>
        <v>200</v>
      </c>
      <c r="C10" s="53">
        <f>correcoes!C9</f>
        <v>5</v>
      </c>
      <c r="D10" s="53"/>
      <c r="E10" s="54">
        <v>45520</v>
      </c>
      <c r="F10" s="54">
        <v>127964</v>
      </c>
      <c r="G10" s="52"/>
      <c r="H10" s="54">
        <f t="shared" si="1"/>
        <v>200</v>
      </c>
      <c r="I10" s="78">
        <f t="shared" si="0"/>
        <v>0.35572504766965707</v>
      </c>
    </row>
    <row r="11" spans="2:9" ht="15.75">
      <c r="B11" s="53">
        <f>correcoes!B10</f>
        <v>200</v>
      </c>
      <c r="C11" s="53">
        <f>correcoes!C10</f>
        <v>6</v>
      </c>
      <c r="D11" s="53"/>
      <c r="E11" s="54">
        <v>35026</v>
      </c>
      <c r="F11" s="54">
        <v>99922</v>
      </c>
      <c r="G11" s="52"/>
      <c r="H11" s="54">
        <f t="shared" si="1"/>
        <v>200</v>
      </c>
      <c r="I11" s="78">
        <f t="shared" si="0"/>
        <v>0.35053341606453031</v>
      </c>
    </row>
    <row r="12" spans="2:9" ht="15.75">
      <c r="B12" s="50">
        <f>correcoes!B11</f>
        <v>300</v>
      </c>
      <c r="C12" s="50">
        <f>correcoes!C11</f>
        <v>7</v>
      </c>
      <c r="D12" s="50"/>
      <c r="E12" s="51">
        <v>31483</v>
      </c>
      <c r="F12" s="51">
        <v>97080</v>
      </c>
      <c r="G12" s="52"/>
      <c r="H12" s="51">
        <f t="shared" si="1"/>
        <v>300</v>
      </c>
      <c r="I12" s="79">
        <f t="shared" si="0"/>
        <v>0.32429954676555417</v>
      </c>
    </row>
    <row r="13" spans="2:9" ht="15.75">
      <c r="B13" s="50">
        <f>correcoes!B12</f>
        <v>300</v>
      </c>
      <c r="C13" s="50">
        <f>correcoes!C12</f>
        <v>8</v>
      </c>
      <c r="D13" s="50"/>
      <c r="E13" s="51">
        <v>32208</v>
      </c>
      <c r="F13" s="51">
        <v>99631</v>
      </c>
      <c r="G13" s="52"/>
      <c r="H13" s="51">
        <f t="shared" si="1"/>
        <v>300</v>
      </c>
      <c r="I13" s="79">
        <f t="shared" si="0"/>
        <v>0.32327287691581935</v>
      </c>
    </row>
    <row r="14" spans="2:9" ht="15.75">
      <c r="B14" s="53">
        <f>correcoes!B13</f>
        <v>400</v>
      </c>
      <c r="C14" s="53">
        <f>correcoes!C13</f>
        <v>9</v>
      </c>
      <c r="D14" s="53"/>
      <c r="E14" s="54">
        <v>31024</v>
      </c>
      <c r="F14" s="54">
        <v>103720</v>
      </c>
      <c r="G14" s="52"/>
      <c r="H14" s="54">
        <f t="shared" si="1"/>
        <v>400</v>
      </c>
      <c r="I14" s="78">
        <f t="shared" si="0"/>
        <v>0.29911299652911683</v>
      </c>
    </row>
    <row r="15" spans="2:9" ht="15.75">
      <c r="B15" s="53">
        <f>correcoes!B14</f>
        <v>400</v>
      </c>
      <c r="C15" s="53">
        <f>correcoes!C14</f>
        <v>10</v>
      </c>
      <c r="D15" s="53"/>
      <c r="E15" s="54">
        <v>29594</v>
      </c>
      <c r="F15" s="54">
        <v>98803</v>
      </c>
      <c r="G15" s="52"/>
      <c r="H15" s="54">
        <f t="shared" si="1"/>
        <v>400</v>
      </c>
      <c r="I15" s="78">
        <f t="shared" si="0"/>
        <v>0.299525318057144</v>
      </c>
    </row>
    <row r="16" spans="2:9" ht="15.75">
      <c r="B16" s="50">
        <f>correcoes!B15</f>
        <v>500</v>
      </c>
      <c r="C16" s="50">
        <f>correcoes!C15</f>
        <v>11</v>
      </c>
      <c r="D16" s="50"/>
      <c r="E16" s="51">
        <v>30372</v>
      </c>
      <c r="F16" s="51">
        <v>111683</v>
      </c>
      <c r="G16" s="52"/>
      <c r="H16" s="51">
        <f t="shared" si="1"/>
        <v>500</v>
      </c>
      <c r="I16" s="79">
        <f t="shared" si="0"/>
        <v>0.27194828219156003</v>
      </c>
    </row>
    <row r="17" spans="2:9" ht="15.75">
      <c r="B17" s="50">
        <f>correcoes!B16</f>
        <v>500</v>
      </c>
      <c r="C17" s="50">
        <f>correcoes!C16</f>
        <v>12</v>
      </c>
      <c r="D17" s="50"/>
      <c r="E17" s="51">
        <v>30068</v>
      </c>
      <c r="F17" s="51">
        <v>109255</v>
      </c>
      <c r="G17" s="52"/>
      <c r="H17" s="51">
        <f t="shared" si="1"/>
        <v>500</v>
      </c>
      <c r="I17" s="79">
        <f t="shared" si="0"/>
        <v>0.27520937256876116</v>
      </c>
    </row>
    <row r="18" spans="2:9" ht="15.75">
      <c r="B18" s="53">
        <f>correcoes!B17</f>
        <v>600</v>
      </c>
      <c r="C18" s="53">
        <f>correcoes!C17</f>
        <v>13</v>
      </c>
      <c r="D18" s="53"/>
      <c r="E18" s="54">
        <v>31917</v>
      </c>
      <c r="F18" s="54">
        <v>126334</v>
      </c>
      <c r="G18" s="52"/>
      <c r="H18" s="54">
        <f t="shared" si="1"/>
        <v>600</v>
      </c>
      <c r="I18" s="78">
        <f t="shared" si="0"/>
        <v>0.25263982775816485</v>
      </c>
    </row>
    <row r="19" spans="2:9" ht="15.75">
      <c r="B19" s="53">
        <f>correcoes!B18</f>
        <v>600</v>
      </c>
      <c r="C19" s="53">
        <f>correcoes!C18</f>
        <v>14</v>
      </c>
      <c r="D19" s="53"/>
      <c r="E19" s="54">
        <v>33572</v>
      </c>
      <c r="F19" s="54">
        <v>132819</v>
      </c>
      <c r="G19" s="52"/>
      <c r="H19" s="54">
        <f t="shared" si="1"/>
        <v>600</v>
      </c>
      <c r="I19" s="78">
        <f t="shared" si="0"/>
        <v>0.25276504114622156</v>
      </c>
    </row>
    <row r="20" spans="2:9" ht="15.75">
      <c r="B20" s="50">
        <f>correcoes!B19</f>
        <v>800</v>
      </c>
      <c r="C20" s="50">
        <f>correcoes!C19</f>
        <v>15</v>
      </c>
      <c r="D20" s="50"/>
      <c r="E20" s="51">
        <v>29988</v>
      </c>
      <c r="F20" s="51">
        <v>140403</v>
      </c>
      <c r="G20" s="52"/>
      <c r="H20" s="51">
        <f t="shared" si="1"/>
        <v>800</v>
      </c>
      <c r="I20" s="79">
        <f t="shared" si="0"/>
        <v>0.21358517980385033</v>
      </c>
    </row>
    <row r="21" spans="2:9" ht="15.75">
      <c r="B21" s="50">
        <f>correcoes!B20</f>
        <v>800</v>
      </c>
      <c r="C21" s="50">
        <f>correcoes!C20</f>
        <v>16</v>
      </c>
      <c r="D21" s="50"/>
      <c r="E21" s="51">
        <v>24939</v>
      </c>
      <c r="F21" s="51">
        <v>117884</v>
      </c>
      <c r="G21" s="52"/>
      <c r="H21" s="51">
        <f t="shared" si="1"/>
        <v>800</v>
      </c>
      <c r="I21" s="79">
        <f t="shared" si="0"/>
        <v>0.21155542736927826</v>
      </c>
    </row>
    <row r="22" spans="2:9" ht="15.75">
      <c r="B22" s="53">
        <f>correcoes!B21</f>
        <v>0</v>
      </c>
      <c r="C22" s="53">
        <f>correcoes!C21</f>
        <v>17</v>
      </c>
      <c r="D22" s="53"/>
      <c r="E22" s="54">
        <v>47832</v>
      </c>
      <c r="F22" s="54">
        <v>113560</v>
      </c>
      <c r="G22" s="55"/>
      <c r="H22" s="54">
        <f t="shared" si="1"/>
        <v>0</v>
      </c>
      <c r="I22" s="78">
        <f t="shared" si="0"/>
        <v>0.42120464952448045</v>
      </c>
    </row>
    <row r="23" spans="2:9" ht="15.75">
      <c r="B23" s="53">
        <f>correcoes!B22</f>
        <v>0</v>
      </c>
      <c r="C23" s="53">
        <f>correcoes!C22</f>
        <v>18</v>
      </c>
      <c r="D23" s="53"/>
      <c r="E23" s="54">
        <v>44159</v>
      </c>
      <c r="F23" s="54">
        <v>104541</v>
      </c>
      <c r="G23" s="55"/>
      <c r="H23" s="54">
        <f t="shared" si="1"/>
        <v>0</v>
      </c>
      <c r="I23" s="78">
        <f t="shared" si="0"/>
        <v>0.42240843305497366</v>
      </c>
    </row>
    <row r="24" spans="2:9" ht="15.75">
      <c r="B24" s="50">
        <f>correcoes!B23</f>
        <v>1000</v>
      </c>
      <c r="C24" s="50">
        <f>correcoes!C23</f>
        <v>19</v>
      </c>
      <c r="D24" s="50"/>
      <c r="E24" s="51">
        <v>18734</v>
      </c>
      <c r="F24" s="51">
        <v>106498</v>
      </c>
      <c r="G24" s="55"/>
      <c r="H24" s="51">
        <f t="shared" si="1"/>
        <v>1000</v>
      </c>
      <c r="I24" s="79">
        <f t="shared" si="0"/>
        <v>0.17590940674942251</v>
      </c>
    </row>
    <row r="25" spans="2:9" ht="15.75">
      <c r="B25" s="50">
        <f>correcoes!B24</f>
        <v>1000</v>
      </c>
      <c r="C25" s="50">
        <f>correcoes!C24</f>
        <v>20</v>
      </c>
      <c r="D25" s="50"/>
      <c r="E25" s="51">
        <v>19196</v>
      </c>
      <c r="F25" s="51">
        <v>107595</v>
      </c>
      <c r="G25" s="55"/>
      <c r="H25" s="51">
        <f t="shared" si="1"/>
        <v>1000</v>
      </c>
      <c r="I25" s="79">
        <f t="shared" si="0"/>
        <v>0.1784097774060133</v>
      </c>
    </row>
    <row r="26" spans="2:9" ht="15.75">
      <c r="B26" s="53">
        <f>correcoes!B25</f>
        <v>1250</v>
      </c>
      <c r="C26" s="53">
        <f>correcoes!C25</f>
        <v>21</v>
      </c>
      <c r="D26" s="53"/>
      <c r="E26" s="54">
        <v>13180</v>
      </c>
      <c r="F26" s="54">
        <v>91900</v>
      </c>
      <c r="G26" s="55"/>
      <c r="H26" s="54">
        <f t="shared" ref="H26:H59" si="2">B26</f>
        <v>1250</v>
      </c>
      <c r="I26" s="78">
        <f t="shared" ref="I26:I59" si="3">E26/F26</f>
        <v>0.14341675734494017</v>
      </c>
    </row>
    <row r="27" spans="2:9" ht="15.75">
      <c r="B27" s="53">
        <f>correcoes!B26</f>
        <v>1250</v>
      </c>
      <c r="C27" s="53">
        <f>correcoes!C26</f>
        <v>22</v>
      </c>
      <c r="D27" s="53"/>
      <c r="E27" s="54">
        <v>20268</v>
      </c>
      <c r="F27" s="54">
        <v>138680</v>
      </c>
      <c r="G27" s="55"/>
      <c r="H27" s="54">
        <f t="shared" si="2"/>
        <v>1250</v>
      </c>
      <c r="I27" s="78">
        <f t="shared" si="3"/>
        <v>0.1461494087107009</v>
      </c>
    </row>
    <row r="28" spans="2:9" ht="15.75">
      <c r="B28" s="50">
        <f>correcoes!B27</f>
        <v>1500</v>
      </c>
      <c r="C28" s="50">
        <f>correcoes!C27</f>
        <v>23</v>
      </c>
      <c r="D28" s="50"/>
      <c r="E28" s="51">
        <v>14851</v>
      </c>
      <c r="F28" s="51">
        <v>122550</v>
      </c>
      <c r="G28" s="55"/>
      <c r="H28" s="51">
        <f t="shared" si="2"/>
        <v>1500</v>
      </c>
      <c r="I28" s="79">
        <f t="shared" si="3"/>
        <v>0.12118319053447572</v>
      </c>
    </row>
    <row r="29" spans="2:9" ht="15.75">
      <c r="B29" s="50">
        <f>correcoes!B28</f>
        <v>1500</v>
      </c>
      <c r="C29" s="50">
        <f>correcoes!C28</f>
        <v>24</v>
      </c>
      <c r="D29" s="50"/>
      <c r="E29" s="51">
        <v>17526</v>
      </c>
      <c r="F29" s="51">
        <v>142613</v>
      </c>
      <c r="G29" s="55"/>
      <c r="H29" s="51">
        <f t="shared" si="2"/>
        <v>1500</v>
      </c>
      <c r="I29" s="79">
        <f t="shared" si="3"/>
        <v>0.12289202246639506</v>
      </c>
    </row>
    <row r="30" spans="2:9" ht="15.75">
      <c r="B30" s="53">
        <f>correcoes!B29</f>
        <v>1750</v>
      </c>
      <c r="C30" s="53">
        <f>correcoes!C29</f>
        <v>25</v>
      </c>
      <c r="D30" s="53"/>
      <c r="E30" s="54">
        <v>13756</v>
      </c>
      <c r="F30" s="54">
        <v>131604</v>
      </c>
      <c r="G30" s="55"/>
      <c r="H30" s="54">
        <f t="shared" si="2"/>
        <v>1750</v>
      </c>
      <c r="I30" s="78">
        <f t="shared" si="3"/>
        <v>0.10452569830704234</v>
      </c>
    </row>
    <row r="31" spans="2:9" ht="15.75">
      <c r="B31" s="53">
        <f>correcoes!B30</f>
        <v>1750</v>
      </c>
      <c r="C31" s="53">
        <f>correcoes!C30</f>
        <v>26</v>
      </c>
      <c r="D31" s="53"/>
      <c r="E31" s="54">
        <v>12050</v>
      </c>
      <c r="F31" s="54">
        <v>115945</v>
      </c>
      <c r="G31" s="55"/>
      <c r="H31" s="54">
        <f t="shared" si="2"/>
        <v>1750</v>
      </c>
      <c r="I31" s="78">
        <f t="shared" si="3"/>
        <v>0.10392858682996248</v>
      </c>
    </row>
    <row r="32" spans="2:9" ht="15.75">
      <c r="B32" s="50">
        <f>correcoes!B31</f>
        <v>2000</v>
      </c>
      <c r="C32" s="50">
        <f>correcoes!C31</f>
        <v>27</v>
      </c>
      <c r="D32" s="50"/>
      <c r="E32" s="51">
        <v>9857</v>
      </c>
      <c r="F32" s="51">
        <v>113082</v>
      </c>
      <c r="G32" s="55"/>
      <c r="H32" s="51">
        <f t="shared" si="2"/>
        <v>2000</v>
      </c>
      <c r="I32" s="79">
        <f t="shared" si="3"/>
        <v>8.7166834686333808E-2</v>
      </c>
    </row>
    <row r="33" spans="2:9" ht="15.75">
      <c r="B33" s="50">
        <f>correcoes!B32</f>
        <v>2000</v>
      </c>
      <c r="C33" s="50">
        <f>correcoes!C32</f>
        <v>28</v>
      </c>
      <c r="D33" s="50"/>
      <c r="E33" s="51">
        <v>12405</v>
      </c>
      <c r="F33" s="51">
        <v>137573</v>
      </c>
      <c r="G33" s="55"/>
      <c r="H33" s="51">
        <f t="shared" si="2"/>
        <v>2000</v>
      </c>
      <c r="I33" s="79">
        <f t="shared" si="3"/>
        <v>9.0170309581095134E-2</v>
      </c>
    </row>
    <row r="34" spans="2:9" ht="15.75">
      <c r="B34" s="53">
        <f>correcoes!B33</f>
        <v>2250</v>
      </c>
      <c r="C34" s="53">
        <f>correcoes!C33</f>
        <v>29</v>
      </c>
      <c r="D34" s="53"/>
      <c r="E34" s="54">
        <v>9322</v>
      </c>
      <c r="F34" s="54">
        <v>119142</v>
      </c>
      <c r="G34" s="55"/>
      <c r="H34" s="54">
        <f t="shared" si="2"/>
        <v>2250</v>
      </c>
      <c r="I34" s="78">
        <f t="shared" si="3"/>
        <v>7.8242769132631645E-2</v>
      </c>
    </row>
    <row r="35" spans="2:9" ht="15.75">
      <c r="B35" s="53">
        <f>correcoes!B34</f>
        <v>2250</v>
      </c>
      <c r="C35" s="53">
        <f>correcoes!C34</f>
        <v>30</v>
      </c>
      <c r="D35" s="53"/>
      <c r="E35" s="54">
        <v>9382</v>
      </c>
      <c r="F35" s="54">
        <v>120701</v>
      </c>
      <c r="G35" s="55"/>
      <c r="H35" s="54">
        <f t="shared" si="2"/>
        <v>2250</v>
      </c>
      <c r="I35" s="78">
        <f t="shared" si="3"/>
        <v>7.7729264877672927E-2</v>
      </c>
    </row>
    <row r="36" spans="2:9" ht="15.75">
      <c r="B36" s="50">
        <f>correcoes!B35</f>
        <v>2500</v>
      </c>
      <c r="C36" s="50">
        <f>correcoes!C35</f>
        <v>31</v>
      </c>
      <c r="D36" s="50"/>
      <c r="E36" s="51">
        <v>8519</v>
      </c>
      <c r="F36" s="51">
        <v>122048</v>
      </c>
      <c r="G36" s="55"/>
      <c r="H36" s="51">
        <f t="shared" si="2"/>
        <v>2500</v>
      </c>
      <c r="I36" s="79">
        <f t="shared" si="3"/>
        <v>6.9800406397482959E-2</v>
      </c>
    </row>
    <row r="37" spans="2:9" ht="15.75">
      <c r="B37" s="50">
        <f>correcoes!B36</f>
        <v>2500</v>
      </c>
      <c r="C37" s="50">
        <f>correcoes!C36</f>
        <v>32</v>
      </c>
      <c r="D37" s="50"/>
      <c r="E37" s="51">
        <v>7596</v>
      </c>
      <c r="F37" s="51">
        <v>106627</v>
      </c>
      <c r="G37" s="55"/>
      <c r="H37" s="51">
        <f t="shared" si="2"/>
        <v>2500</v>
      </c>
      <c r="I37" s="79">
        <f t="shared" si="3"/>
        <v>7.1238992000150062E-2</v>
      </c>
    </row>
    <row r="38" spans="2:9" ht="15.75">
      <c r="B38" s="53">
        <f>correcoes!B37</f>
        <v>0</v>
      </c>
      <c r="C38" s="53">
        <f>correcoes!C37</f>
        <v>33</v>
      </c>
      <c r="D38" s="53"/>
      <c r="E38" s="54">
        <v>57696</v>
      </c>
      <c r="F38" s="54">
        <v>138015</v>
      </c>
      <c r="G38" s="55"/>
      <c r="H38" s="54">
        <f t="shared" si="2"/>
        <v>0</v>
      </c>
      <c r="I38" s="78">
        <f t="shared" si="3"/>
        <v>0.41804151722638844</v>
      </c>
    </row>
    <row r="39" spans="2:9" ht="15.75">
      <c r="B39" s="53">
        <f>correcoes!B38</f>
        <v>0</v>
      </c>
      <c r="C39" s="53">
        <f>correcoes!C38</f>
        <v>34</v>
      </c>
      <c r="D39" s="53"/>
      <c r="E39" s="54">
        <v>51736</v>
      </c>
      <c r="F39" s="54">
        <v>123948</v>
      </c>
      <c r="G39" s="55"/>
      <c r="H39" s="54">
        <f t="shared" si="2"/>
        <v>0</v>
      </c>
      <c r="I39" s="78">
        <f t="shared" si="3"/>
        <v>0.41740084551586148</v>
      </c>
    </row>
    <row r="40" spans="2:9" ht="15.75">
      <c r="B40" s="50">
        <f>correcoes!B39</f>
        <v>3000</v>
      </c>
      <c r="C40" s="50">
        <f>correcoes!C39</f>
        <v>35</v>
      </c>
      <c r="D40" s="50"/>
      <c r="E40" s="51">
        <v>7457</v>
      </c>
      <c r="F40" s="51">
        <v>128933</v>
      </c>
      <c r="G40" s="55"/>
      <c r="H40" s="51">
        <f t="shared" si="2"/>
        <v>3000</v>
      </c>
      <c r="I40" s="79">
        <f t="shared" si="3"/>
        <v>5.7836240528026182E-2</v>
      </c>
    </row>
    <row r="41" spans="2:9" ht="15.75">
      <c r="B41" s="50">
        <f>correcoes!B40</f>
        <v>3000</v>
      </c>
      <c r="C41" s="50">
        <f>correcoes!C40</f>
        <v>36</v>
      </c>
      <c r="D41" s="50"/>
      <c r="E41" s="51">
        <v>7805</v>
      </c>
      <c r="F41" s="51">
        <v>132461</v>
      </c>
      <c r="G41" s="55"/>
      <c r="H41" s="51">
        <f t="shared" si="2"/>
        <v>3000</v>
      </c>
      <c r="I41" s="79">
        <f t="shared" si="3"/>
        <v>5.8923003752047773E-2</v>
      </c>
    </row>
    <row r="42" spans="2:9" ht="15.75">
      <c r="B42" s="53">
        <f>correcoes!B41</f>
        <v>3500</v>
      </c>
      <c r="C42" s="53">
        <f>correcoes!C41</f>
        <v>37</v>
      </c>
      <c r="D42" s="53"/>
      <c r="E42" s="54">
        <v>6337</v>
      </c>
      <c r="F42" s="54">
        <v>128307</v>
      </c>
      <c r="G42" s="55"/>
      <c r="H42" s="54">
        <f t="shared" si="2"/>
        <v>3500</v>
      </c>
      <c r="I42" s="78">
        <f t="shared" si="3"/>
        <v>4.9389355218343506E-2</v>
      </c>
    </row>
    <row r="43" spans="2:9" ht="15.75">
      <c r="B43" s="53">
        <f>correcoes!B42</f>
        <v>3500</v>
      </c>
      <c r="C43" s="53">
        <f>correcoes!C42</f>
        <v>38</v>
      </c>
      <c r="D43" s="53"/>
      <c r="E43" s="54">
        <v>6514</v>
      </c>
      <c r="F43" s="54">
        <v>132071</v>
      </c>
      <c r="G43" s="55"/>
      <c r="H43" s="54">
        <f t="shared" si="2"/>
        <v>3500</v>
      </c>
      <c r="I43" s="78">
        <f t="shared" si="3"/>
        <v>4.9321955614782954E-2</v>
      </c>
    </row>
    <row r="44" spans="2:9" ht="15.75">
      <c r="B44" s="50">
        <f>correcoes!B43</f>
        <v>4000</v>
      </c>
      <c r="C44" s="50">
        <f>correcoes!C43</f>
        <v>39</v>
      </c>
      <c r="D44" s="50"/>
      <c r="E44" s="51">
        <v>6150</v>
      </c>
      <c r="F44" s="51">
        <v>139633</v>
      </c>
      <c r="G44" s="55"/>
      <c r="H44" s="51">
        <f t="shared" si="2"/>
        <v>4000</v>
      </c>
      <c r="I44" s="79">
        <f t="shared" si="3"/>
        <v>4.4044029706444748E-2</v>
      </c>
    </row>
    <row r="45" spans="2:9" ht="15.75">
      <c r="B45" s="50">
        <f>correcoes!B44</f>
        <v>4000</v>
      </c>
      <c r="C45" s="50">
        <f>correcoes!C44</f>
        <v>40</v>
      </c>
      <c r="D45" s="50"/>
      <c r="E45" s="51">
        <v>6308</v>
      </c>
      <c r="F45" s="51">
        <v>138717</v>
      </c>
      <c r="G45" s="55"/>
      <c r="H45" s="51">
        <f t="shared" si="2"/>
        <v>4000</v>
      </c>
      <c r="I45" s="79">
        <f t="shared" si="3"/>
        <v>4.5473878471996944E-2</v>
      </c>
    </row>
    <row r="46" spans="2:9" ht="15.75">
      <c r="B46" s="113">
        <f>correcoes!B45</f>
        <v>4700</v>
      </c>
      <c r="C46" s="113">
        <f>correcoes!C45</f>
        <v>41</v>
      </c>
      <c r="D46" s="113"/>
      <c r="E46" s="114">
        <v>5133</v>
      </c>
      <c r="F46" s="114">
        <v>130615</v>
      </c>
      <c r="G46" s="55"/>
      <c r="H46" s="54">
        <f t="shared" si="2"/>
        <v>4700</v>
      </c>
      <c r="I46" s="78">
        <f t="shared" si="3"/>
        <v>3.9298702292998505E-2</v>
      </c>
    </row>
    <row r="47" spans="2:9" ht="15.75">
      <c r="B47" s="53">
        <f>correcoes!B46</f>
        <v>4700</v>
      </c>
      <c r="C47" s="53">
        <f>correcoes!C46</f>
        <v>42</v>
      </c>
      <c r="D47" s="53"/>
      <c r="E47" s="54">
        <v>5139</v>
      </c>
      <c r="F47" s="54">
        <v>130108</v>
      </c>
      <c r="G47" s="55"/>
      <c r="H47" s="54">
        <f t="shared" si="2"/>
        <v>4700</v>
      </c>
      <c r="I47" s="78">
        <f t="shared" si="3"/>
        <v>3.9497955544624465E-2</v>
      </c>
    </row>
    <row r="48" spans="2:9" ht="15.75">
      <c r="B48" s="50">
        <f>correcoes!B47</f>
        <v>5400</v>
      </c>
      <c r="C48" s="50">
        <f>correcoes!C47</f>
        <v>43</v>
      </c>
      <c r="D48" s="50"/>
      <c r="E48" s="51">
        <v>5303</v>
      </c>
      <c r="F48" s="51">
        <v>147928</v>
      </c>
      <c r="G48" s="55"/>
      <c r="H48" s="51">
        <f t="shared" si="2"/>
        <v>5400</v>
      </c>
      <c r="I48" s="79">
        <f t="shared" si="3"/>
        <v>3.5848520902060463E-2</v>
      </c>
    </row>
    <row r="49" spans="2:9" ht="15.75">
      <c r="B49" s="50">
        <f>correcoes!B48</f>
        <v>5400</v>
      </c>
      <c r="C49" s="50">
        <f>correcoes!C48</f>
        <v>44</v>
      </c>
      <c r="D49" s="50"/>
      <c r="E49" s="51">
        <v>5142</v>
      </c>
      <c r="F49" s="51">
        <v>142425</v>
      </c>
      <c r="G49" s="55"/>
      <c r="H49" s="51">
        <f t="shared" si="2"/>
        <v>5400</v>
      </c>
      <c r="I49" s="79">
        <f t="shared" si="3"/>
        <v>3.6103212216956296E-2</v>
      </c>
    </row>
    <row r="50" spans="2:9" ht="15.75">
      <c r="B50" s="53">
        <f>correcoes!B49</f>
        <v>6200</v>
      </c>
      <c r="C50" s="53">
        <f>correcoes!C49</f>
        <v>45</v>
      </c>
      <c r="D50" s="53"/>
      <c r="E50" s="54">
        <v>4165</v>
      </c>
      <c r="F50" s="54">
        <v>133035</v>
      </c>
      <c r="G50" s="55"/>
      <c r="H50" s="54">
        <f t="shared" si="2"/>
        <v>6200</v>
      </c>
      <c r="I50" s="78">
        <f t="shared" si="3"/>
        <v>3.1307550644567222E-2</v>
      </c>
    </row>
    <row r="51" spans="2:9" ht="15.75">
      <c r="B51" s="53">
        <f>correcoes!B50</f>
        <v>6200</v>
      </c>
      <c r="C51" s="53">
        <f>correcoes!C50</f>
        <v>46</v>
      </c>
      <c r="D51" s="53"/>
      <c r="E51" s="54">
        <v>4652</v>
      </c>
      <c r="F51" s="54">
        <v>146801</v>
      </c>
      <c r="G51" s="55"/>
      <c r="H51" s="54">
        <f t="shared" si="2"/>
        <v>6200</v>
      </c>
      <c r="I51" s="78">
        <f t="shared" si="3"/>
        <v>3.1689157430807691E-2</v>
      </c>
    </row>
    <row r="52" spans="2:9" ht="15.75">
      <c r="B52" s="50">
        <f>correcoes!B51</f>
        <v>7000</v>
      </c>
      <c r="C52" s="50">
        <f>correcoes!C51</f>
        <v>47</v>
      </c>
      <c r="D52" s="50"/>
      <c r="E52" s="51">
        <v>3518</v>
      </c>
      <c r="F52" s="51">
        <v>125031</v>
      </c>
      <c r="G52" s="55"/>
      <c r="H52" s="51">
        <f t="shared" si="2"/>
        <v>7000</v>
      </c>
      <c r="I52" s="79">
        <f t="shared" si="3"/>
        <v>2.8137022018539404E-2</v>
      </c>
    </row>
    <row r="53" spans="2:9" ht="15.75">
      <c r="B53" s="50">
        <f>correcoes!B52</f>
        <v>7000</v>
      </c>
      <c r="C53" s="50">
        <f>correcoes!C52</f>
        <v>48</v>
      </c>
      <c r="D53" s="50"/>
      <c r="E53" s="51">
        <v>3876</v>
      </c>
      <c r="F53" s="51">
        <v>136838</v>
      </c>
      <c r="G53" s="55"/>
      <c r="H53" s="51">
        <f t="shared" si="2"/>
        <v>7000</v>
      </c>
      <c r="I53" s="79">
        <f t="shared" si="3"/>
        <v>2.8325465148569842E-2</v>
      </c>
    </row>
    <row r="54" spans="2:9" ht="15.75">
      <c r="B54" s="53">
        <f>correcoes!B53</f>
        <v>8000</v>
      </c>
      <c r="C54" s="53">
        <f>correcoes!C53</f>
        <v>49</v>
      </c>
      <c r="D54" s="53"/>
      <c r="E54" s="54">
        <v>2969</v>
      </c>
      <c r="F54" s="54">
        <v>118626</v>
      </c>
      <c r="G54" s="55"/>
      <c r="H54" s="54">
        <f t="shared" si="2"/>
        <v>8000</v>
      </c>
      <c r="I54" s="78">
        <f t="shared" si="3"/>
        <v>2.5028240014836545E-2</v>
      </c>
    </row>
    <row r="55" spans="2:9" ht="15.75">
      <c r="B55" s="53">
        <f>correcoes!B54</f>
        <v>8000</v>
      </c>
      <c r="C55" s="53">
        <f>correcoes!C54</f>
        <v>50</v>
      </c>
      <c r="D55" s="53"/>
      <c r="E55" s="54">
        <v>3099</v>
      </c>
      <c r="F55" s="54">
        <v>127028</v>
      </c>
      <c r="G55" s="55"/>
      <c r="H55" s="54">
        <f t="shared" si="2"/>
        <v>8000</v>
      </c>
      <c r="I55" s="78">
        <f t="shared" si="3"/>
        <v>2.4396196114242531E-2</v>
      </c>
    </row>
    <row r="56" spans="2:9" ht="15.75">
      <c r="B56" s="50">
        <f>correcoes!B55</f>
        <v>0</v>
      </c>
      <c r="C56" s="50">
        <f>correcoes!C55</f>
        <v>51</v>
      </c>
      <c r="D56" s="50"/>
      <c r="E56" s="51">
        <v>78291</v>
      </c>
      <c r="F56" s="51">
        <v>185850</v>
      </c>
      <c r="G56" s="55"/>
      <c r="H56" s="51">
        <f t="shared" si="2"/>
        <v>0</v>
      </c>
      <c r="I56" s="79">
        <f t="shared" si="3"/>
        <v>0.4212590799031477</v>
      </c>
    </row>
    <row r="57" spans="2:9" ht="15.75">
      <c r="B57" s="50">
        <f>correcoes!B56</f>
        <v>0</v>
      </c>
      <c r="C57" s="50">
        <f>correcoes!C56</f>
        <v>52</v>
      </c>
      <c r="D57" s="50"/>
      <c r="E57" s="51">
        <v>81027</v>
      </c>
      <c r="F57" s="51">
        <v>193608</v>
      </c>
      <c r="G57" s="55"/>
      <c r="H57" s="51">
        <f t="shared" si="2"/>
        <v>0</v>
      </c>
      <c r="I57" s="79">
        <f t="shared" si="3"/>
        <v>0.41851059873558943</v>
      </c>
    </row>
    <row r="58" spans="2:9" ht="15.75">
      <c r="B58" s="53">
        <f>correcoes!B57</f>
        <v>0</v>
      </c>
      <c r="C58" s="53">
        <f>correcoes!C57</f>
        <v>53</v>
      </c>
      <c r="D58" s="53"/>
      <c r="E58" s="54"/>
      <c r="F58" s="54"/>
      <c r="G58" s="55"/>
      <c r="H58" s="54">
        <f t="shared" si="2"/>
        <v>0</v>
      </c>
      <c r="I58" s="78" t="e">
        <f t="shared" si="3"/>
        <v>#DIV/0!</v>
      </c>
    </row>
    <row r="59" spans="2:9" ht="15.75">
      <c r="B59" s="53">
        <f>correcoes!B58</f>
        <v>0</v>
      </c>
      <c r="C59" s="53">
        <f>correcoes!C58</f>
        <v>54</v>
      </c>
      <c r="D59" s="53"/>
      <c r="E59" s="54"/>
      <c r="F59" s="54"/>
      <c r="G59" s="55"/>
      <c r="H59" s="54">
        <f t="shared" si="2"/>
        <v>0</v>
      </c>
      <c r="I59" s="78" t="e">
        <f t="shared" si="3"/>
        <v>#DIV/0!</v>
      </c>
    </row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X185"/>
  <sheetViews>
    <sheetView tabSelected="1" topLeftCell="A25" zoomScale="85" workbookViewId="0">
      <selection activeCell="M35" sqref="M35:M36"/>
    </sheetView>
  </sheetViews>
  <sheetFormatPr defaultColWidth="9" defaultRowHeight="15"/>
  <cols>
    <col min="1" max="1" width="9.140625" style="1" customWidth="1"/>
    <col min="2" max="2" width="11.42578125" style="6" bestFit="1" customWidth="1"/>
    <col min="3" max="3" width="9.140625" style="1" customWidth="1"/>
    <col min="4" max="4" width="13.42578125" style="4" bestFit="1" customWidth="1"/>
    <col min="5" max="6" width="13.140625" style="7" bestFit="1" customWidth="1"/>
    <col min="7" max="7" width="16.28515625" style="7" bestFit="1" customWidth="1"/>
    <col min="8" max="8" width="15.140625" style="15" customWidth="1"/>
    <col min="9" max="9" width="10.28515625" style="4" bestFit="1" customWidth="1"/>
    <col min="10" max="10" width="16.28515625" style="7" bestFit="1" customWidth="1"/>
    <col min="11" max="11" width="9.140625" style="1" customWidth="1"/>
    <col min="12" max="12" width="10.28515625" style="4" bestFit="1" customWidth="1"/>
    <col min="13" max="13" width="9.5703125" style="2" bestFit="1" customWidth="1"/>
    <col min="14" max="17" width="9.140625" style="1" customWidth="1"/>
    <col min="18" max="18" width="11.28515625" style="2" customWidth="1"/>
    <col min="19" max="19" width="12.42578125" style="2" bestFit="1" customWidth="1"/>
    <col min="20" max="20" width="9.140625" style="1" customWidth="1"/>
    <col min="21" max="16384" width="9" style="8"/>
  </cols>
  <sheetData>
    <row r="2" spans="1:24">
      <c r="D2" s="4" t="s">
        <v>29</v>
      </c>
      <c r="E2" s="7">
        <v>0.6</v>
      </c>
    </row>
    <row r="5" spans="1:24">
      <c r="A5" s="15"/>
      <c r="C5" s="13"/>
      <c r="D5" s="14"/>
      <c r="E5" s="12"/>
      <c r="G5" s="12"/>
      <c r="H5" s="58"/>
      <c r="N5" s="8"/>
      <c r="O5" s="8"/>
    </row>
    <row r="6" spans="1:24">
      <c r="C6" s="13"/>
      <c r="D6" s="14"/>
      <c r="E6" s="12"/>
      <c r="H6" s="58"/>
      <c r="N6" s="8"/>
      <c r="O6" s="8"/>
    </row>
    <row r="7" spans="1:24">
      <c r="H7" s="58"/>
      <c r="N7" s="8"/>
      <c r="O7" s="8"/>
    </row>
    <row r="8" spans="1:24" ht="15.75">
      <c r="B8" s="9"/>
      <c r="C8" s="10"/>
      <c r="D8" s="127" t="str">
        <f>areas!E5</f>
        <v>O+</v>
      </c>
      <c r="E8" s="128"/>
      <c r="F8" s="11"/>
      <c r="G8" s="11"/>
      <c r="H8" s="58"/>
      <c r="N8" s="8"/>
      <c r="O8" s="8"/>
      <c r="T8" s="77"/>
    </row>
    <row r="9" spans="1:24" ht="15.75">
      <c r="B9" s="9" t="str">
        <f>input!B8</f>
        <v>tempo(ns)</v>
      </c>
      <c r="C9" s="10" t="str">
        <f>input!C8</f>
        <v>medida</v>
      </c>
      <c r="D9" s="5" t="s">
        <v>34</v>
      </c>
      <c r="E9" s="11" t="str">
        <f>correcoes!G62</f>
        <v>n_total</v>
      </c>
      <c r="F9" s="11" t="str">
        <f>correcoes!M62</f>
        <v>Ne</v>
      </c>
      <c r="G9" s="11" t="s">
        <v>38</v>
      </c>
      <c r="H9" s="58"/>
      <c r="N9" s="8"/>
      <c r="O9" s="8"/>
    </row>
    <row r="10" spans="1:24" ht="15.75">
      <c r="B10" s="65">
        <f>input!B9</f>
        <v>0</v>
      </c>
      <c r="C10" s="65">
        <f>input!C9</f>
        <v>1</v>
      </c>
      <c r="D10" s="51">
        <f>areas!E6</f>
        <v>43219</v>
      </c>
      <c r="E10" s="66">
        <f>correcoes!G63</f>
        <v>10551357768214.871</v>
      </c>
      <c r="F10" s="66">
        <f>correcoes!M63</f>
        <v>1522807291.9418759</v>
      </c>
      <c r="G10" s="67">
        <f>D10/(E10*F10*d)</f>
        <v>4.4830147396497136E-18</v>
      </c>
      <c r="H10" s="58"/>
      <c r="N10" s="8"/>
      <c r="O10" s="8"/>
    </row>
    <row r="11" spans="1:24" ht="15.75">
      <c r="B11" s="65">
        <f>input!B10</f>
        <v>0</v>
      </c>
      <c r="C11" s="65">
        <f>input!C10</f>
        <v>2</v>
      </c>
      <c r="D11" s="51">
        <f>areas!E7</f>
        <v>59950</v>
      </c>
      <c r="E11" s="66">
        <f>correcoes!G64</f>
        <v>10551357768214.871</v>
      </c>
      <c r="F11" s="66">
        <f>correcoes!M64</f>
        <v>2107347741.0832233</v>
      </c>
      <c r="G11" s="67">
        <f>D11/(E11*F11*d)</f>
        <v>4.4935893541940988E-18</v>
      </c>
      <c r="H11" s="58"/>
      <c r="I11" s="4" t="str">
        <f>B9</f>
        <v>tempo(ns)</v>
      </c>
      <c r="J11" s="7" t="str">
        <f>G9</f>
        <v>s exp</v>
      </c>
      <c r="N11" s="8"/>
      <c r="O11" s="8"/>
    </row>
    <row r="12" spans="1:24" ht="15.75">
      <c r="B12" s="9">
        <f>input!B11</f>
        <v>100</v>
      </c>
      <c r="C12" s="9">
        <f>input!C11</f>
        <v>3</v>
      </c>
      <c r="D12" s="54">
        <f>areas!E8</f>
        <v>35368</v>
      </c>
      <c r="E12" s="11">
        <f>correcoes!G65</f>
        <v>10881087698471.586</v>
      </c>
      <c r="F12" s="11">
        <f>correcoes!M65</f>
        <v>1344963170.4095113</v>
      </c>
      <c r="G12" s="57">
        <f>D12/(E12*F12*d)</f>
        <v>4.0278802357781952E-18</v>
      </c>
      <c r="H12" s="58"/>
      <c r="I12" s="4">
        <f>AVERAGE(B10:B11)</f>
        <v>0</v>
      </c>
      <c r="J12" s="7">
        <f>AVERAGE(G10:G11)</f>
        <v>4.4883020469219058E-18</v>
      </c>
      <c r="L12" s="4" t="str">
        <f>I11</f>
        <v>tempo(ns)</v>
      </c>
      <c r="M12" s="2" t="s">
        <v>37</v>
      </c>
      <c r="N12" s="8"/>
      <c r="O12" s="8"/>
    </row>
    <row r="13" spans="1:24" ht="15.75">
      <c r="A13" s="15"/>
      <c r="B13" s="9">
        <f>input!B12</f>
        <v>100</v>
      </c>
      <c r="C13" s="9">
        <f>input!C12</f>
        <v>4</v>
      </c>
      <c r="D13" s="54">
        <f>areas!E9</f>
        <v>42100</v>
      </c>
      <c r="E13" s="11">
        <f>correcoes!G66</f>
        <v>10881087698471.586</v>
      </c>
      <c r="F13" s="11">
        <f>correcoes!M66</f>
        <v>1571919471.5984147</v>
      </c>
      <c r="G13" s="57">
        <f>D13/(E13*F13*d)</f>
        <v>4.1023077850614628E-18</v>
      </c>
      <c r="H13" s="58"/>
      <c r="I13" s="4">
        <f>AVERAGE(B12:B13)</f>
        <v>100</v>
      </c>
      <c r="J13" s="7">
        <f>AVERAGE(G12:G13)</f>
        <v>4.0650940104198294E-18</v>
      </c>
      <c r="L13" s="4">
        <f t="shared" ref="L13:L21" si="0">I13</f>
        <v>100</v>
      </c>
      <c r="M13" s="2">
        <f>J13/$J$12</f>
        <v>0.90570865505980958</v>
      </c>
      <c r="N13" s="8"/>
      <c r="O13" s="8"/>
    </row>
    <row r="14" spans="1:24" ht="15.75">
      <c r="A14" s="15"/>
      <c r="B14" s="65">
        <f>input!B13</f>
        <v>200</v>
      </c>
      <c r="C14" s="65">
        <f>input!C13</f>
        <v>5</v>
      </c>
      <c r="D14" s="51">
        <f>areas!E10</f>
        <v>45520</v>
      </c>
      <c r="E14" s="66">
        <f>correcoes!G67</f>
        <v>10881087698471.586</v>
      </c>
      <c r="F14" s="66">
        <f>correcoes!M67</f>
        <v>1861506578.599736</v>
      </c>
      <c r="G14" s="67">
        <f t="shared" ref="G14:G63" si="1">D14/(E14*F14*d)</f>
        <v>3.745537219613318E-18</v>
      </c>
      <c r="H14" s="58"/>
      <c r="I14" s="4">
        <f>AVERAGE(B14:B15)</f>
        <v>200</v>
      </c>
      <c r="J14" s="7">
        <f>AVERAGE(G14:G15)</f>
        <v>3.7670426724254042E-18</v>
      </c>
      <c r="L14" s="4">
        <f t="shared" si="0"/>
        <v>200</v>
      </c>
      <c r="M14" s="2">
        <f>J14/$J$12</f>
        <v>0.83930239833320841</v>
      </c>
      <c r="N14" s="8"/>
      <c r="O14" s="8"/>
    </row>
    <row r="15" spans="1:24" ht="15.75">
      <c r="A15" s="15"/>
      <c r="B15" s="65">
        <f>input!B14</f>
        <v>200</v>
      </c>
      <c r="C15" s="65">
        <f>input!C14</f>
        <v>6</v>
      </c>
      <c r="D15" s="51">
        <f>areas!E11</f>
        <v>35026</v>
      </c>
      <c r="E15" s="66">
        <f>correcoes!G68</f>
        <v>10881087698471.586</v>
      </c>
      <c r="F15" s="66">
        <f>correcoes!M68</f>
        <v>1416100819.0224571</v>
      </c>
      <c r="G15" s="67">
        <f t="shared" si="1"/>
        <v>3.7885481252374904E-18</v>
      </c>
      <c r="H15" s="58"/>
      <c r="I15" s="4">
        <f>AVERAGE(B16:B17)</f>
        <v>300</v>
      </c>
      <c r="J15" s="7">
        <f>AVERAGE(G16:G17)</f>
        <v>3.4585376813160128E-18</v>
      </c>
      <c r="L15" s="4">
        <f t="shared" si="0"/>
        <v>300</v>
      </c>
      <c r="M15" s="2">
        <f>J15/$J$12</f>
        <v>0.77056705301014461</v>
      </c>
      <c r="N15" s="8"/>
      <c r="O15" s="8"/>
      <c r="W15" s="4"/>
      <c r="X15" s="2"/>
    </row>
    <row r="16" spans="1:24" ht="15.75">
      <c r="A16" s="15"/>
      <c r="B16" s="9">
        <f>input!B15</f>
        <v>300</v>
      </c>
      <c r="C16" s="9">
        <f>input!C15</f>
        <v>7</v>
      </c>
      <c r="D16" s="54">
        <f>areas!E12</f>
        <v>31483</v>
      </c>
      <c r="E16" s="11">
        <f>correcoes!G69</f>
        <v>10881087698471.586</v>
      </c>
      <c r="F16" s="11">
        <f>correcoes!M69</f>
        <v>1394207239.1017175</v>
      </c>
      <c r="G16" s="57">
        <f t="shared" si="1"/>
        <v>3.4587981260270125E-18</v>
      </c>
      <c r="H16" s="58"/>
      <c r="I16" s="4">
        <f>AVERAGE(B18:B19)</f>
        <v>400</v>
      </c>
      <c r="J16" s="7">
        <f>AVERAGE(G18:G19)</f>
        <v>3.1641640589330171E-18</v>
      </c>
      <c r="L16" s="4">
        <f t="shared" si="0"/>
        <v>400</v>
      </c>
      <c r="M16" s="2">
        <f>J16/$J$12</f>
        <v>0.70498019648722454</v>
      </c>
      <c r="W16" s="4"/>
      <c r="X16" s="2"/>
    </row>
    <row r="17" spans="1:22" ht="15.75">
      <c r="A17" s="15"/>
      <c r="B17" s="9">
        <f>input!B16</f>
        <v>300</v>
      </c>
      <c r="C17" s="9">
        <f>input!C16</f>
        <v>8</v>
      </c>
      <c r="D17" s="54">
        <f>areas!E13</f>
        <v>32208</v>
      </c>
      <c r="E17" s="11">
        <f>correcoes!G70</f>
        <v>10881087698471.586</v>
      </c>
      <c r="F17" s="11">
        <f>correcoes!M70</f>
        <v>1426528295.9048879</v>
      </c>
      <c r="G17" s="57">
        <f t="shared" si="1"/>
        <v>3.4582772366050134E-18</v>
      </c>
      <c r="H17" s="58"/>
      <c r="I17" s="4">
        <f>AVERAGE(B20:B21)</f>
        <v>500</v>
      </c>
      <c r="J17" s="7">
        <f>AVERAGE(G20:G21)</f>
        <v>2.9977071559123185E-18</v>
      </c>
      <c r="L17" s="4">
        <f t="shared" si="0"/>
        <v>500</v>
      </c>
      <c r="M17" s="2">
        <f t="shared" ref="M17:M23" si="2">J17/$J$20</f>
        <v>0.65048460268786468</v>
      </c>
      <c r="T17" s="8"/>
      <c r="U17" s="4"/>
      <c r="V17" s="2"/>
    </row>
    <row r="18" spans="1:22" ht="15.75">
      <c r="A18" s="15"/>
      <c r="B18" s="65">
        <f>input!B17</f>
        <v>400</v>
      </c>
      <c r="C18" s="65">
        <f>input!C17</f>
        <v>9</v>
      </c>
      <c r="D18" s="51">
        <f>areas!E14</f>
        <v>31024</v>
      </c>
      <c r="E18" s="66">
        <f>correcoes!G71</f>
        <v>10881087698471.586</v>
      </c>
      <c r="F18" s="66">
        <f>correcoes!M71</f>
        <v>1507953289.2998681</v>
      </c>
      <c r="G18" s="67">
        <f t="shared" si="1"/>
        <v>3.1512752737210564E-18</v>
      </c>
      <c r="H18" s="58"/>
      <c r="I18" s="4">
        <f>AVERAGE(B22:B23)</f>
        <v>600</v>
      </c>
      <c r="J18" s="7">
        <f>AVERAGE(G22:G23)</f>
        <v>2.7608722192405743E-18</v>
      </c>
      <c r="L18" s="4">
        <f t="shared" si="0"/>
        <v>600</v>
      </c>
      <c r="M18" s="2">
        <f t="shared" si="2"/>
        <v>0.59909283168725824</v>
      </c>
    </row>
    <row r="19" spans="1:22" ht="15.75">
      <c r="A19" s="15"/>
      <c r="B19" s="65">
        <f>input!B18</f>
        <v>400</v>
      </c>
      <c r="C19" s="65">
        <f>input!C18</f>
        <v>10</v>
      </c>
      <c r="D19" s="51">
        <f>areas!E15</f>
        <v>29594</v>
      </c>
      <c r="E19" s="66">
        <f>correcoes!G72</f>
        <v>10881087698471.586</v>
      </c>
      <c r="F19" s="66">
        <f>correcoes!M72</f>
        <v>1426775587.8467636</v>
      </c>
      <c r="G19" s="67">
        <f t="shared" si="1"/>
        <v>3.1770528441449779E-18</v>
      </c>
      <c r="H19" s="58"/>
      <c r="I19" s="4">
        <f>AVERAGE(B24:B25)</f>
        <v>800</v>
      </c>
      <c r="J19" s="7">
        <f>AVERAGE(G24:G25)</f>
        <v>2.3106270481394977E-18</v>
      </c>
      <c r="L19" s="4">
        <f t="shared" si="0"/>
        <v>800</v>
      </c>
      <c r="M19" s="2">
        <f t="shared" si="2"/>
        <v>0.50139231058793177</v>
      </c>
    </row>
    <row r="20" spans="1:22" ht="15.75">
      <c r="A20" s="15"/>
      <c r="B20" s="9">
        <f>input!B19</f>
        <v>500</v>
      </c>
      <c r="C20" s="9">
        <f>input!C19</f>
        <v>11</v>
      </c>
      <c r="D20" s="54">
        <f>areas!E16</f>
        <v>30372</v>
      </c>
      <c r="E20" s="11">
        <f>correcoes!G73</f>
        <v>10551357768214.871</v>
      </c>
      <c r="F20" s="11">
        <f>correcoes!M73</f>
        <v>1605691307.7939236</v>
      </c>
      <c r="G20" s="57">
        <f t="shared" si="1"/>
        <v>2.9878014617088165E-18</v>
      </c>
      <c r="H20" s="58"/>
      <c r="I20" s="4">
        <f>AVERAGE(B26:B27)</f>
        <v>0</v>
      </c>
      <c r="J20" s="7">
        <f>AVERAGE(G26:G27)</f>
        <v>4.608421388493295E-18</v>
      </c>
      <c r="L20" s="4">
        <f t="shared" si="0"/>
        <v>0</v>
      </c>
      <c r="M20" s="2">
        <f>J20/$J$20</f>
        <v>1</v>
      </c>
    </row>
    <row r="21" spans="1:22" ht="15.75">
      <c r="B21" s="9">
        <f>input!B20</f>
        <v>500</v>
      </c>
      <c r="C21" s="9">
        <f>input!C20</f>
        <v>12</v>
      </c>
      <c r="D21" s="54">
        <f>areas!E17</f>
        <v>30068</v>
      </c>
      <c r="E21" s="11">
        <f>correcoes!G74</f>
        <v>10551357768214.871</v>
      </c>
      <c r="F21" s="11">
        <f>correcoes!M74</f>
        <v>1579148639.3659182</v>
      </c>
      <c r="G21" s="57">
        <f t="shared" si="1"/>
        <v>3.0076128501158209E-18</v>
      </c>
      <c r="H21" s="58"/>
      <c r="I21" s="4">
        <f>AVERAGE(B28:B29)</f>
        <v>1000</v>
      </c>
      <c r="J21" s="7">
        <f>AVERAGE(G28:G29)</f>
        <v>1.9354570918380746E-18</v>
      </c>
      <c r="L21" s="4">
        <f t="shared" si="0"/>
        <v>1000</v>
      </c>
      <c r="M21" s="2">
        <f t="shared" si="2"/>
        <v>0.41998266405730411</v>
      </c>
    </row>
    <row r="22" spans="1:22" ht="15.75">
      <c r="B22" s="65">
        <f>input!B21</f>
        <v>600</v>
      </c>
      <c r="C22" s="65">
        <f>input!C21</f>
        <v>13</v>
      </c>
      <c r="D22" s="51">
        <f>areas!E18</f>
        <v>31917</v>
      </c>
      <c r="E22" s="66">
        <f>correcoes!G75</f>
        <v>10551357768214.871</v>
      </c>
      <c r="F22" s="66">
        <f>correcoes!M75</f>
        <v>1828361215.3236461</v>
      </c>
      <c r="G22" s="67">
        <f t="shared" si="1"/>
        <v>2.7574043988034114E-18</v>
      </c>
      <c r="H22" s="58"/>
      <c r="I22" s="4">
        <f>AVERAGE(B30:B31)</f>
        <v>1250</v>
      </c>
      <c r="J22" s="7">
        <f>AVERAGE(G30:G31)</f>
        <v>1.5833548940322393E-18</v>
      </c>
      <c r="L22" s="4">
        <f t="shared" ref="L22:L30" si="3">I22</f>
        <v>1250</v>
      </c>
      <c r="M22" s="2">
        <f t="shared" si="2"/>
        <v>0.34357858376095918</v>
      </c>
    </row>
    <row r="23" spans="1:22" ht="15.75">
      <c r="B23" s="65">
        <f>input!B22</f>
        <v>600</v>
      </c>
      <c r="C23" s="65">
        <f>input!C22</f>
        <v>14</v>
      </c>
      <c r="D23" s="51">
        <f>areas!E19</f>
        <v>33572</v>
      </c>
      <c r="E23" s="66">
        <f>correcoes!G76</f>
        <v>10551357768214.871</v>
      </c>
      <c r="F23" s="66">
        <f>correcoes!M76</f>
        <v>1918342509.9075298</v>
      </c>
      <c r="G23" s="67">
        <f t="shared" si="1"/>
        <v>2.7643400396777373E-18</v>
      </c>
      <c r="I23" s="4">
        <f>AVERAGE(B32:B33)</f>
        <v>1500</v>
      </c>
      <c r="J23" s="7">
        <f>AVERAGE(G32:G33)</f>
        <v>1.3326276400020185E-18</v>
      </c>
      <c r="L23" s="4">
        <f t="shared" si="3"/>
        <v>1500</v>
      </c>
      <c r="M23" s="2">
        <f t="shared" si="2"/>
        <v>0.28917226261674733</v>
      </c>
    </row>
    <row r="24" spans="1:22" ht="15.75">
      <c r="B24" s="9">
        <f>input!B23</f>
        <v>800</v>
      </c>
      <c r="C24" s="9">
        <f>input!C23</f>
        <v>15</v>
      </c>
      <c r="D24" s="54">
        <f>areas!E20</f>
        <v>29988</v>
      </c>
      <c r="E24" s="11">
        <f>correcoes!G77</f>
        <v>10386492803086.516</v>
      </c>
      <c r="F24" s="11">
        <f>correcoes!M77</f>
        <v>2070295165.1254957</v>
      </c>
      <c r="G24" s="57">
        <f t="shared" si="1"/>
        <v>2.3243153983676023E-18</v>
      </c>
      <c r="I24" s="4">
        <f>AVERAGE(B34:B35)</f>
        <v>1750</v>
      </c>
      <c r="J24" s="7">
        <f>AVERAGE(G34:G35)</f>
        <v>1.1369669918231614E-18</v>
      </c>
      <c r="L24" s="4">
        <f t="shared" si="3"/>
        <v>1750</v>
      </c>
      <c r="M24" s="2">
        <f>J24/$J$20</f>
        <v>0.24671506704270554</v>
      </c>
      <c r="P24" s="8"/>
    </row>
    <row r="25" spans="1:22" ht="15.75">
      <c r="B25" s="9">
        <f>input!B24</f>
        <v>800</v>
      </c>
      <c r="C25" s="9">
        <f>input!C24</f>
        <v>16</v>
      </c>
      <c r="D25" s="54">
        <f>areas!E21</f>
        <v>24939</v>
      </c>
      <c r="E25" s="11">
        <f>correcoes!G78</f>
        <v>10386492803086.516</v>
      </c>
      <c r="F25" s="11">
        <f>correcoes!M78</f>
        <v>1742245918.0977545</v>
      </c>
      <c r="G25" s="57">
        <f t="shared" si="1"/>
        <v>2.2969386979113927E-18</v>
      </c>
      <c r="I25" s="4">
        <f>AVERAGE(B36:B37)</f>
        <v>2000</v>
      </c>
      <c r="J25" s="7">
        <f>AVERAGE(G36:G37)</f>
        <v>9.7589159556424465E-19</v>
      </c>
      <c r="L25" s="4">
        <f t="shared" si="3"/>
        <v>2000</v>
      </c>
      <c r="M25" s="2">
        <f t="shared" ref="M25:M33" si="4">J25/$J$28</f>
        <v>0.21317840266248891</v>
      </c>
      <c r="P25" s="8"/>
    </row>
    <row r="26" spans="1:22" ht="15.75">
      <c r="B26" s="65">
        <f>input!B25</f>
        <v>0</v>
      </c>
      <c r="C26" s="65">
        <f>input!C25</f>
        <v>17</v>
      </c>
      <c r="D26" s="51">
        <f>areas!E22</f>
        <v>47832</v>
      </c>
      <c r="E26" s="66">
        <f>correcoes!G79</f>
        <v>10551357768214.871</v>
      </c>
      <c r="F26" s="66">
        <f>correcoes!M79</f>
        <v>1643650620.8718626</v>
      </c>
      <c r="G26" s="67">
        <f t="shared" si="1"/>
        <v>4.5967346326840343E-18</v>
      </c>
      <c r="I26" s="4">
        <f>AVERAGE(B38:B39)</f>
        <v>2250</v>
      </c>
      <c r="J26" s="7">
        <f>AVERAGE(G38:G39)</f>
        <v>8.5276806385666963E-19</v>
      </c>
      <c r="L26" s="4">
        <f t="shared" si="3"/>
        <v>2250</v>
      </c>
      <c r="M26" s="2">
        <f t="shared" si="4"/>
        <v>0.18628271267101051</v>
      </c>
      <c r="P26" s="8"/>
    </row>
    <row r="27" spans="1:22" ht="15.75">
      <c r="B27" s="65">
        <f>input!B26</f>
        <v>0</v>
      </c>
      <c r="C27" s="65">
        <f>input!C26</f>
        <v>18</v>
      </c>
      <c r="D27" s="51">
        <f>areas!E23</f>
        <v>44159</v>
      </c>
      <c r="E27" s="66">
        <f>correcoes!G80</f>
        <v>10551357768214.871</v>
      </c>
      <c r="F27" s="66">
        <f>correcoes!M80</f>
        <v>1509758520.4755616</v>
      </c>
      <c r="G27" s="67">
        <f t="shared" si="1"/>
        <v>4.6201081443025557E-18</v>
      </c>
      <c r="I27" s="4">
        <f>AVERAGE(B40:B41)</f>
        <v>2500</v>
      </c>
      <c r="J27" s="7">
        <f>AVERAGE(G40:G41)</f>
        <v>7.7284218573120731E-19</v>
      </c>
      <c r="L27" s="4">
        <f t="shared" si="3"/>
        <v>2500</v>
      </c>
      <c r="M27" s="2">
        <f t="shared" si="4"/>
        <v>0.16882332362859187</v>
      </c>
      <c r="P27" s="8"/>
    </row>
    <row r="28" spans="1:22" ht="15.75">
      <c r="B28" s="9">
        <f>input!B27</f>
        <v>1000</v>
      </c>
      <c r="C28" s="9">
        <f>input!C27</f>
        <v>19</v>
      </c>
      <c r="D28" s="54">
        <f>areas!E24</f>
        <v>18734</v>
      </c>
      <c r="E28" s="11">
        <f>correcoes!G81</f>
        <v>10386492803086.516</v>
      </c>
      <c r="F28" s="11">
        <f>correcoes!M81</f>
        <v>1543942509.9075298</v>
      </c>
      <c r="G28" s="57">
        <f t="shared" si="1"/>
        <v>1.9470594675204217E-18</v>
      </c>
      <c r="I28" s="4">
        <f>AVERAGE(B42:B43)</f>
        <v>0</v>
      </c>
      <c r="J28" s="7">
        <f>AVERAGE(G42:G43)</f>
        <v>4.5778164362611744E-18</v>
      </c>
      <c r="L28" s="4">
        <f t="shared" si="3"/>
        <v>0</v>
      </c>
      <c r="M28" s="2">
        <f t="shared" si="4"/>
        <v>1</v>
      </c>
      <c r="P28" s="8"/>
    </row>
    <row r="29" spans="1:22" ht="15.75">
      <c r="B29" s="9">
        <f>input!B28</f>
        <v>1000</v>
      </c>
      <c r="C29" s="9">
        <f>input!C28</f>
        <v>20</v>
      </c>
      <c r="D29" s="54">
        <f>areas!E25</f>
        <v>19196</v>
      </c>
      <c r="E29" s="11">
        <f>correcoes!G82</f>
        <v>10551357768214.871</v>
      </c>
      <c r="F29" s="11">
        <f>correcoes!M82</f>
        <v>1576082219.286658</v>
      </c>
      <c r="G29" s="57">
        <f t="shared" si="1"/>
        <v>1.9238547161557278E-18</v>
      </c>
      <c r="I29" s="4">
        <f>AVERAGE(B44:B45)</f>
        <v>3000</v>
      </c>
      <c r="J29" s="7">
        <f>AVERAGE(G44:G45)</f>
        <v>6.3351126202980085E-19</v>
      </c>
      <c r="L29" s="4">
        <f t="shared" si="3"/>
        <v>3000</v>
      </c>
      <c r="M29" s="2">
        <f t="shared" si="4"/>
        <v>0.13838721382791105</v>
      </c>
      <c r="P29" s="8"/>
    </row>
    <row r="30" spans="1:22" ht="15.75">
      <c r="B30" s="65">
        <f>input!B29</f>
        <v>1250</v>
      </c>
      <c r="C30" s="65">
        <f>input!C29</f>
        <v>21</v>
      </c>
      <c r="D30" s="51">
        <f>areas!E26</f>
        <v>13180</v>
      </c>
      <c r="E30" s="66">
        <f>correcoes!G83</f>
        <v>10716222733343.225</v>
      </c>
      <c r="F30" s="66">
        <f>correcoes!M83</f>
        <v>1335302298.5468957</v>
      </c>
      <c r="G30" s="67">
        <f t="shared" si="1"/>
        <v>1.5351217735212457E-18</v>
      </c>
      <c r="I30" s="4">
        <f>AVERAGE(B46:B47)</f>
        <v>3500</v>
      </c>
      <c r="J30" s="7">
        <f>AVERAGE(G46:G47)</f>
        <v>5.2705188496704267E-19</v>
      </c>
      <c r="L30" s="4">
        <f t="shared" si="3"/>
        <v>3500</v>
      </c>
      <c r="M30" s="2">
        <f t="shared" si="4"/>
        <v>0.11513172105203504</v>
      </c>
      <c r="P30" s="8"/>
    </row>
    <row r="31" spans="1:22" ht="15.75">
      <c r="B31" s="65">
        <f>input!B30</f>
        <v>1250</v>
      </c>
      <c r="C31" s="65">
        <f>input!C30</f>
        <v>22</v>
      </c>
      <c r="D31" s="51">
        <f>areas!E27</f>
        <v>20268</v>
      </c>
      <c r="E31" s="66">
        <f>correcoes!G84</f>
        <v>10716222733343.225</v>
      </c>
      <c r="F31" s="66">
        <f>correcoes!M84</f>
        <v>1932001268.1638048</v>
      </c>
      <c r="G31" s="67">
        <f t="shared" si="1"/>
        <v>1.6315880145432329E-18</v>
      </c>
      <c r="I31" s="4">
        <f>AVERAGE(B48:B49)</f>
        <v>4000</v>
      </c>
      <c r="J31" s="7">
        <f>AVERAGE(G48:G49)</f>
        <v>4.6727590366954004E-19</v>
      </c>
      <c r="L31" s="4">
        <f t="shared" ref="L31:L37" si="5">I31</f>
        <v>4000</v>
      </c>
      <c r="M31" s="2">
        <f t="shared" si="4"/>
        <v>0.10207397133013416</v>
      </c>
      <c r="P31" s="8"/>
    </row>
    <row r="32" spans="1:22" ht="15.75">
      <c r="B32" s="9">
        <f>input!B31</f>
        <v>1500</v>
      </c>
      <c r="C32" s="9">
        <f>input!C31</f>
        <v>23</v>
      </c>
      <c r="D32" s="54">
        <f>areas!E28</f>
        <v>14851</v>
      </c>
      <c r="E32" s="11">
        <f>correcoes!G85</f>
        <v>11045952663599.945</v>
      </c>
      <c r="F32" s="11">
        <f>correcoes!M85</f>
        <v>1685129722.5891678</v>
      </c>
      <c r="G32" s="57">
        <f t="shared" si="1"/>
        <v>1.3297436684799576E-18</v>
      </c>
      <c r="I32" s="4">
        <f>AVERAGE(B50:B51)</f>
        <v>4700</v>
      </c>
      <c r="J32" s="7">
        <f>AVERAGE(G50:G51)</f>
        <v>3.9156748699285038E-19</v>
      </c>
      <c r="L32" s="4">
        <f t="shared" si="5"/>
        <v>4700</v>
      </c>
      <c r="M32" s="2">
        <f t="shared" si="4"/>
        <v>8.5535864629961891E-2</v>
      </c>
      <c r="P32" s="8"/>
    </row>
    <row r="33" spans="2:16" ht="15.75">
      <c r="B33" s="9">
        <f>input!B32</f>
        <v>1500</v>
      </c>
      <c r="C33" s="9">
        <f>input!C32</f>
        <v>24</v>
      </c>
      <c r="D33" s="54">
        <f>areas!E29</f>
        <v>17526</v>
      </c>
      <c r="E33" s="11">
        <f>correcoes!G86</f>
        <v>11210817628728.301</v>
      </c>
      <c r="F33" s="11">
        <f>correcoes!M86</f>
        <v>1950952073.976222</v>
      </c>
      <c r="G33" s="57">
        <f t="shared" si="1"/>
        <v>1.3355116115240797E-18</v>
      </c>
      <c r="I33" s="4">
        <f>AVERAGE(B52:B53)</f>
        <v>5400</v>
      </c>
      <c r="J33" s="7">
        <f>AVERAGE(G52:G53)</f>
        <v>3.3612452097404006E-19</v>
      </c>
      <c r="L33" s="4">
        <f t="shared" si="5"/>
        <v>5400</v>
      </c>
      <c r="M33" s="2">
        <f t="shared" si="4"/>
        <v>7.34246393786296E-2</v>
      </c>
      <c r="P33" s="8"/>
    </row>
    <row r="34" spans="2:16" ht="15.75">
      <c r="B34" s="65">
        <f>input!B33</f>
        <v>1750</v>
      </c>
      <c r="C34" s="65">
        <f>input!C33</f>
        <v>25</v>
      </c>
      <c r="D34" s="51">
        <f>areas!E30</f>
        <v>13756</v>
      </c>
      <c r="E34" s="66">
        <f>correcoes!G87</f>
        <v>11045952663599.945</v>
      </c>
      <c r="F34" s="66">
        <f>correcoes!M87</f>
        <v>1812583989.4319682</v>
      </c>
      <c r="G34" s="67">
        <f t="shared" si="1"/>
        <v>1.1450899405094716E-18</v>
      </c>
      <c r="I34" s="4">
        <f>AVERAGE(B54:B55)</f>
        <v>6200</v>
      </c>
      <c r="J34" s="7">
        <f>AVERAGE(G54:G55)</f>
        <v>2.6350169279019467E-19</v>
      </c>
      <c r="L34" s="4">
        <f t="shared" si="5"/>
        <v>6200</v>
      </c>
      <c r="M34" s="2">
        <f>J34/$J$37</f>
        <v>5.7466364270336655E-2</v>
      </c>
      <c r="P34" s="8"/>
    </row>
    <row r="35" spans="2:16" ht="15.75">
      <c r="B35" s="65">
        <f>input!B34</f>
        <v>1750</v>
      </c>
      <c r="C35" s="65">
        <f>input!C34</f>
        <v>26</v>
      </c>
      <c r="D35" s="51">
        <f>areas!E31</f>
        <v>12050</v>
      </c>
      <c r="E35" s="66">
        <f>correcoes!G88</f>
        <v>11210817628728.301</v>
      </c>
      <c r="F35" s="66">
        <f>correcoes!M88</f>
        <v>1586954821.664465</v>
      </c>
      <c r="G35" s="67">
        <f t="shared" si="1"/>
        <v>1.1288440431368514E-18</v>
      </c>
      <c r="I35" s="4">
        <f>AVERAGE(B56:B57)</f>
        <v>7000</v>
      </c>
      <c r="J35" s="7">
        <f>AVERAGE(G56:G57)</f>
        <v>2.1415532035144904E-19</v>
      </c>
      <c r="L35" s="4">
        <f t="shared" si="5"/>
        <v>7000</v>
      </c>
      <c r="M35" s="2">
        <f>J35/$J$37</f>
        <v>4.6704548723889509E-2</v>
      </c>
      <c r="P35" s="8"/>
    </row>
    <row r="36" spans="2:16" ht="15.75">
      <c r="B36" s="9">
        <f>input!B35</f>
        <v>2000</v>
      </c>
      <c r="C36" s="9">
        <f>input!C35</f>
        <v>27</v>
      </c>
      <c r="D36" s="54">
        <f>areas!E32</f>
        <v>9857</v>
      </c>
      <c r="E36" s="11">
        <f>correcoes!G89</f>
        <v>11045952663599.945</v>
      </c>
      <c r="F36" s="11">
        <f>correcoes!M89</f>
        <v>1557444649.9339497</v>
      </c>
      <c r="G36" s="57">
        <f t="shared" si="1"/>
        <v>9.5494356650056213E-19</v>
      </c>
      <c r="I36" s="4">
        <f>AVERAGE(B58:B59)</f>
        <v>8000</v>
      </c>
      <c r="J36" s="7">
        <f>AVERAGE(G58:G59)</f>
        <v>1.6730127653401963E-19</v>
      </c>
      <c r="L36" s="4">
        <f t="shared" si="5"/>
        <v>8000</v>
      </c>
      <c r="M36" s="2">
        <f>J36/$J$37</f>
        <v>3.6486278317199708E-2</v>
      </c>
      <c r="P36" s="8"/>
    </row>
    <row r="37" spans="2:16" ht="15.75">
      <c r="B37" s="9">
        <f>input!B36</f>
        <v>2000</v>
      </c>
      <c r="C37" s="9">
        <f>input!C36</f>
        <v>28</v>
      </c>
      <c r="D37" s="54">
        <f>areas!E33</f>
        <v>12405</v>
      </c>
      <c r="E37" s="11">
        <f>correcoes!G90</f>
        <v>10881087698471.586</v>
      </c>
      <c r="F37" s="11">
        <f>correcoes!M90</f>
        <v>1906109801.8494058</v>
      </c>
      <c r="G37" s="57">
        <f t="shared" si="1"/>
        <v>9.9683962462792697E-19</v>
      </c>
      <c r="I37" s="4">
        <f>AVERAGE(B60:B61)</f>
        <v>0</v>
      </c>
      <c r="J37" s="7">
        <f>AVERAGE(G60:G61)</f>
        <v>4.5853204067446214E-18</v>
      </c>
      <c r="L37" s="4">
        <f t="shared" si="5"/>
        <v>0</v>
      </c>
      <c r="M37" s="2">
        <f>J37/$J$37</f>
        <v>1</v>
      </c>
      <c r="P37" s="8"/>
    </row>
    <row r="38" spans="2:16" ht="15.75">
      <c r="B38" s="65">
        <f>input!B37</f>
        <v>2250</v>
      </c>
      <c r="C38" s="65">
        <f>input!C37</f>
        <v>29</v>
      </c>
      <c r="D38" s="51">
        <f>areas!E34</f>
        <v>9322</v>
      </c>
      <c r="E38" s="66">
        <f>correcoes!G91</f>
        <v>11045952663599.945</v>
      </c>
      <c r="F38" s="66">
        <f>correcoes!M91</f>
        <v>1642587265.5217967</v>
      </c>
      <c r="G38" s="67">
        <f t="shared" si="1"/>
        <v>8.5630054197484722E-19</v>
      </c>
      <c r="P38" s="8"/>
    </row>
    <row r="39" spans="2:16" ht="15.75">
      <c r="B39" s="65">
        <f>input!B38</f>
        <v>2250</v>
      </c>
      <c r="C39" s="65">
        <f>input!C38</f>
        <v>30</v>
      </c>
      <c r="D39" s="51">
        <f>areas!E35</f>
        <v>9382</v>
      </c>
      <c r="E39" s="66">
        <f>correcoes!G92</f>
        <v>11045952663599.945</v>
      </c>
      <c r="F39" s="66">
        <f>correcoes!M92</f>
        <v>1666912549.5376489</v>
      </c>
      <c r="G39" s="67">
        <f t="shared" si="1"/>
        <v>8.4923558573849195E-19</v>
      </c>
      <c r="J39" s="1"/>
      <c r="M39" s="56"/>
      <c r="P39" s="8"/>
    </row>
    <row r="40" spans="2:16" ht="15.75">
      <c r="B40" s="9">
        <f>input!B39</f>
        <v>2500</v>
      </c>
      <c r="C40" s="9">
        <f>input!C39</f>
        <v>31</v>
      </c>
      <c r="D40" s="54">
        <f>areas!E36</f>
        <v>8519</v>
      </c>
      <c r="E40" s="11">
        <f>correcoes!G93</f>
        <v>10881087698471.586</v>
      </c>
      <c r="F40" s="11">
        <f>correcoes!M93</f>
        <v>1711416856.0105679</v>
      </c>
      <c r="G40" s="57">
        <f t="shared" si="1"/>
        <v>7.6244628407570233E-19</v>
      </c>
      <c r="J40" s="1"/>
      <c r="M40" s="56"/>
      <c r="P40" s="8"/>
    </row>
    <row r="41" spans="2:16" ht="15.75">
      <c r="B41" s="9">
        <f>input!B40</f>
        <v>2500</v>
      </c>
      <c r="C41" s="9">
        <f>input!C40</f>
        <v>32</v>
      </c>
      <c r="D41" s="54">
        <f>areas!E37</f>
        <v>7596</v>
      </c>
      <c r="E41" s="11">
        <f>correcoes!G94</f>
        <v>10881087698471.586</v>
      </c>
      <c r="F41" s="11">
        <f>correcoes!M94</f>
        <v>1485482694.8480847</v>
      </c>
      <c r="G41" s="57">
        <f t="shared" si="1"/>
        <v>7.8323808738671229E-19</v>
      </c>
      <c r="J41" s="1"/>
      <c r="M41" s="56"/>
      <c r="P41" s="8"/>
    </row>
    <row r="42" spans="2:16" ht="15.75">
      <c r="B42" s="65">
        <f>input!B41</f>
        <v>0</v>
      </c>
      <c r="C42" s="65">
        <f>input!C41</f>
        <v>33</v>
      </c>
      <c r="D42" s="51">
        <f>areas!E38</f>
        <v>57696</v>
      </c>
      <c r="E42" s="66">
        <f>correcoes!G95</f>
        <v>11210817628728.301</v>
      </c>
      <c r="F42" s="66">
        <f>correcoes!M95</f>
        <v>1886969405.5482168</v>
      </c>
      <c r="G42" s="67">
        <f t="shared" si="1"/>
        <v>4.5456114268506736E-18</v>
      </c>
      <c r="J42" s="1"/>
      <c r="M42" s="56"/>
      <c r="P42" s="8"/>
    </row>
    <row r="43" spans="2:16" ht="15.75">
      <c r="B43" s="65">
        <f>input!B42</f>
        <v>0</v>
      </c>
      <c r="C43" s="65">
        <f>input!C42</f>
        <v>34</v>
      </c>
      <c r="D43" s="51">
        <f>areas!E39</f>
        <v>51736</v>
      </c>
      <c r="E43" s="66">
        <f>correcoes!G96</f>
        <v>11210817628728.301</v>
      </c>
      <c r="F43" s="66">
        <f>correcoes!M96</f>
        <v>1668404544.2536328</v>
      </c>
      <c r="G43" s="67">
        <f t="shared" si="1"/>
        <v>4.6100214456716753E-18</v>
      </c>
      <c r="J43" s="1"/>
      <c r="M43" s="56"/>
      <c r="P43" s="8"/>
    </row>
    <row r="44" spans="2:16" ht="15.75">
      <c r="B44" s="9">
        <f>input!B43</f>
        <v>3000</v>
      </c>
      <c r="C44" s="9">
        <f>input!C43</f>
        <v>35</v>
      </c>
      <c r="D44" s="54">
        <f>areas!E40</f>
        <v>7457</v>
      </c>
      <c r="E44" s="11">
        <f>correcoes!G97</f>
        <v>10716222733343.225</v>
      </c>
      <c r="F44" s="11">
        <f>correcoes!M97</f>
        <v>1838393025.0990756</v>
      </c>
      <c r="G44" s="57">
        <f t="shared" si="1"/>
        <v>6.3085971784655023E-19</v>
      </c>
      <c r="J44" s="1"/>
      <c r="M44" s="56"/>
      <c r="P44" s="8"/>
    </row>
    <row r="45" spans="2:16" ht="15.75">
      <c r="B45" s="9">
        <f>input!B44</f>
        <v>3000</v>
      </c>
      <c r="C45" s="9">
        <f>input!C44</f>
        <v>36</v>
      </c>
      <c r="D45" s="54">
        <f>areas!E41</f>
        <v>7805</v>
      </c>
      <c r="E45" s="11">
        <f>correcoes!G98</f>
        <v>10551357768214.871</v>
      </c>
      <c r="F45" s="11">
        <f>correcoes!M98</f>
        <v>1937961003.963012</v>
      </c>
      <c r="G45" s="57">
        <f t="shared" si="1"/>
        <v>6.3616280621305148E-19</v>
      </c>
      <c r="J45" s="1"/>
      <c r="M45" s="56"/>
      <c r="P45" s="8"/>
    </row>
    <row r="46" spans="2:16" ht="15.75">
      <c r="B46" s="65">
        <f>input!B45</f>
        <v>3500</v>
      </c>
      <c r="C46" s="65">
        <f>input!C45</f>
        <v>37</v>
      </c>
      <c r="D46" s="51">
        <f>areas!E42</f>
        <v>6337</v>
      </c>
      <c r="E46" s="66">
        <f>correcoes!G99</f>
        <v>10551357768214.871</v>
      </c>
      <c r="F46" s="66">
        <f>correcoes!M99</f>
        <v>1893596829.5904889</v>
      </c>
      <c r="G46" s="67">
        <f t="shared" si="1"/>
        <v>5.2861147916481357E-19</v>
      </c>
      <c r="J46" s="1"/>
      <c r="M46" s="56"/>
      <c r="P46" s="8"/>
    </row>
    <row r="47" spans="2:16" ht="15.75">
      <c r="B47" s="65">
        <f>input!B46</f>
        <v>3500</v>
      </c>
      <c r="C47" s="65">
        <f>input!C46</f>
        <v>38</v>
      </c>
      <c r="D47" s="51">
        <f>areas!E43</f>
        <v>6514</v>
      </c>
      <c r="E47" s="66">
        <f>correcoes!G100</f>
        <v>10551357768214.871</v>
      </c>
      <c r="F47" s="66">
        <f>correcoes!M100</f>
        <v>1958041109.6433291</v>
      </c>
      <c r="G47" s="67">
        <f t="shared" si="1"/>
        <v>5.2549229076927167E-19</v>
      </c>
      <c r="J47" s="1"/>
      <c r="M47" s="56"/>
      <c r="P47" s="8"/>
    </row>
    <row r="48" spans="2:16" ht="15.75">
      <c r="B48" s="9">
        <f>input!B47</f>
        <v>4000</v>
      </c>
      <c r="C48" s="9">
        <f>input!C47</f>
        <v>39</v>
      </c>
      <c r="D48" s="54">
        <f>areas!E44</f>
        <v>6150</v>
      </c>
      <c r="E48" s="11">
        <f>correcoes!G101</f>
        <v>10551357768214.871</v>
      </c>
      <c r="F48" s="11">
        <f>correcoes!M101</f>
        <v>2125177490.0924704</v>
      </c>
      <c r="G48" s="57">
        <f t="shared" si="1"/>
        <v>4.5710956516484004E-19</v>
      </c>
      <c r="J48" s="1"/>
      <c r="M48" s="56"/>
      <c r="P48" s="8"/>
    </row>
    <row r="49" spans="2:16" ht="15.75">
      <c r="B49" s="9">
        <f>input!B48</f>
        <v>4000</v>
      </c>
      <c r="C49" s="9">
        <f>input!C48</f>
        <v>40</v>
      </c>
      <c r="D49" s="54">
        <f>areas!E45</f>
        <v>6308</v>
      </c>
      <c r="E49" s="11">
        <f>correcoes!G102</f>
        <v>10551357768214.871</v>
      </c>
      <c r="F49" s="11">
        <f>correcoes!M102</f>
        <v>2086946155.8784678</v>
      </c>
      <c r="G49" s="57">
        <f t="shared" si="1"/>
        <v>4.7744224217424005E-19</v>
      </c>
      <c r="J49" s="1"/>
      <c r="M49" s="56"/>
      <c r="P49" s="8"/>
    </row>
    <row r="50" spans="2:16" ht="15.75">
      <c r="B50" s="65">
        <f>input!B49</f>
        <v>4700</v>
      </c>
      <c r="C50" s="65">
        <f>input!C49</f>
        <v>41</v>
      </c>
      <c r="D50" s="51">
        <f>areas!E46</f>
        <v>5133</v>
      </c>
      <c r="E50" s="66">
        <f>correcoes!G103</f>
        <v>10716222733343.225</v>
      </c>
      <c r="F50" s="66">
        <f>correcoes!M103</f>
        <v>2043414531.0435934</v>
      </c>
      <c r="G50" s="67">
        <f t="shared" si="1"/>
        <v>3.9068056289310361E-19</v>
      </c>
      <c r="J50" s="1"/>
      <c r="M50" s="56"/>
      <c r="P50" s="8"/>
    </row>
    <row r="51" spans="2:16" ht="15.75">
      <c r="B51" s="65">
        <f>input!B50</f>
        <v>4700</v>
      </c>
      <c r="C51" s="65">
        <f>input!C50</f>
        <v>42</v>
      </c>
      <c r="D51" s="51">
        <f>areas!E47</f>
        <v>5139</v>
      </c>
      <c r="E51" s="66">
        <f>correcoes!G104</f>
        <v>10716222733343.225</v>
      </c>
      <c r="F51" s="66">
        <f>correcoes!M104</f>
        <v>2036556301.1889038</v>
      </c>
      <c r="G51" s="67">
        <f t="shared" si="1"/>
        <v>3.924544110925972E-19</v>
      </c>
      <c r="J51" s="1"/>
      <c r="M51" s="56"/>
      <c r="P51" s="8"/>
    </row>
    <row r="52" spans="2:16" ht="15.75">
      <c r="B52" s="9">
        <f>input!B51</f>
        <v>5400</v>
      </c>
      <c r="C52" s="9">
        <f>input!C51</f>
        <v>43</v>
      </c>
      <c r="D52" s="54">
        <f>areas!E48</f>
        <v>5303</v>
      </c>
      <c r="E52" s="11">
        <f>correcoes!G105</f>
        <v>10881087698471.586</v>
      </c>
      <c r="F52" s="11">
        <f>correcoes!M105</f>
        <v>2428794293.2628798</v>
      </c>
      <c r="G52" s="57">
        <f t="shared" si="1"/>
        <v>3.3443161980772305E-19</v>
      </c>
      <c r="J52" s="1"/>
      <c r="M52" s="56"/>
      <c r="P52" s="8"/>
    </row>
    <row r="53" spans="2:16" ht="15.75">
      <c r="B53" s="9">
        <f>input!B52</f>
        <v>5400</v>
      </c>
      <c r="C53" s="9">
        <f>input!C52</f>
        <v>44</v>
      </c>
      <c r="D53" s="54">
        <f>areas!E49</f>
        <v>5142</v>
      </c>
      <c r="E53" s="11">
        <f>correcoes!G106</f>
        <v>10881087698471.586</v>
      </c>
      <c r="F53" s="11">
        <f>correcoes!M106</f>
        <v>2331451941.8758259</v>
      </c>
      <c r="G53" s="57">
        <f t="shared" si="1"/>
        <v>3.3781742214035702E-19</v>
      </c>
      <c r="J53" s="1"/>
      <c r="M53" s="56"/>
      <c r="P53" s="8"/>
    </row>
    <row r="54" spans="2:16" ht="15.75">
      <c r="B54" s="65">
        <f>input!B53</f>
        <v>6200</v>
      </c>
      <c r="C54" s="65">
        <f>input!C53</f>
        <v>45</v>
      </c>
      <c r="D54" s="51">
        <f>areas!E50</f>
        <v>4165</v>
      </c>
      <c r="E54" s="66">
        <f>correcoes!G107</f>
        <v>11540547558985.018</v>
      </c>
      <c r="F54" s="66">
        <f>correcoes!M107</f>
        <v>2292726023.7780714</v>
      </c>
      <c r="G54" s="67">
        <f t="shared" si="1"/>
        <v>2.623524835480394E-19</v>
      </c>
      <c r="J54" s="1"/>
      <c r="M54" s="56"/>
      <c r="P54" s="8"/>
    </row>
    <row r="55" spans="2:16" ht="15.75">
      <c r="B55" s="65">
        <f>input!B54</f>
        <v>6200</v>
      </c>
      <c r="C55" s="65">
        <f>input!C54</f>
        <v>46</v>
      </c>
      <c r="D55" s="51">
        <f>areas!E51</f>
        <v>4652</v>
      </c>
      <c r="E55" s="66">
        <f>correcoes!G108</f>
        <v>11540547558985.018</v>
      </c>
      <c r="F55" s="66">
        <f>correcoes!M108</f>
        <v>2538567186.261559</v>
      </c>
      <c r="G55" s="67">
        <f t="shared" si="1"/>
        <v>2.6465090203234998E-19</v>
      </c>
      <c r="J55" s="1"/>
      <c r="M55" s="56"/>
      <c r="P55" s="8"/>
    </row>
    <row r="56" spans="2:16" ht="15.75">
      <c r="B56" s="9">
        <f>input!B55</f>
        <v>7000</v>
      </c>
      <c r="C56" s="9">
        <f>input!C55</f>
        <v>47</v>
      </c>
      <c r="D56" s="54">
        <f>areas!E52</f>
        <v>3518</v>
      </c>
      <c r="E56" s="11">
        <f>correcoes!G109</f>
        <v>11870277489241.732</v>
      </c>
      <c r="F56" s="11">
        <f>correcoes!M109</f>
        <v>2306755719.9471598</v>
      </c>
      <c r="G56" s="57">
        <f t="shared" si="1"/>
        <v>2.1413226315387769E-19</v>
      </c>
      <c r="J56" s="1"/>
      <c r="M56" s="56"/>
      <c r="P56" s="8"/>
    </row>
    <row r="57" spans="2:16" ht="15.75">
      <c r="B57" s="9">
        <f>input!B56</f>
        <v>7000</v>
      </c>
      <c r="C57" s="9">
        <f>input!C56</f>
        <v>48</v>
      </c>
      <c r="D57" s="54">
        <f>areas!E53</f>
        <v>3876</v>
      </c>
      <c r="E57" s="11">
        <f>correcoes!G110</f>
        <v>11870277489241.732</v>
      </c>
      <c r="F57" s="11">
        <f>correcoes!M110</f>
        <v>2540949431.9682961</v>
      </c>
      <c r="G57" s="57">
        <f t="shared" si="1"/>
        <v>2.1417837754902042E-19</v>
      </c>
      <c r="J57" s="1"/>
      <c r="M57" s="56"/>
      <c r="P57" s="8"/>
    </row>
    <row r="58" spans="2:16" ht="15.75">
      <c r="B58" s="65">
        <f>input!B57</f>
        <v>8000</v>
      </c>
      <c r="C58" s="65">
        <f>input!C57</f>
        <v>49</v>
      </c>
      <c r="D58" s="51">
        <f>areas!E54</f>
        <v>2969</v>
      </c>
      <c r="E58" s="66">
        <f>correcoes!G111</f>
        <v>12035142454370.082</v>
      </c>
      <c r="F58" s="66">
        <f>correcoes!M111</f>
        <v>2423403328.929987</v>
      </c>
      <c r="G58" s="67">
        <f t="shared" si="1"/>
        <v>1.6966099587929793E-19</v>
      </c>
      <c r="J58" s="1"/>
      <c r="M58" s="56"/>
      <c r="P58" s="8"/>
    </row>
    <row r="59" spans="2:16" ht="15.75">
      <c r="B59" s="65">
        <f>input!B58</f>
        <v>8000</v>
      </c>
      <c r="C59" s="65">
        <f>input!C58</f>
        <v>50</v>
      </c>
      <c r="D59" s="51">
        <f>areas!E55</f>
        <v>3099</v>
      </c>
      <c r="E59" s="66">
        <f>correcoes!G112</f>
        <v>12035142454370.082</v>
      </c>
      <c r="F59" s="66">
        <f>correcoes!M112</f>
        <v>2601890409.5112286</v>
      </c>
      <c r="G59" s="67">
        <f t="shared" si="1"/>
        <v>1.6494155718874134E-19</v>
      </c>
      <c r="J59" s="1"/>
      <c r="M59" s="56"/>
      <c r="P59" s="8"/>
    </row>
    <row r="60" spans="2:16" ht="15.75">
      <c r="B60" s="9">
        <f>input!B59</f>
        <v>0</v>
      </c>
      <c r="C60" s="9">
        <f>input!C59</f>
        <v>51</v>
      </c>
      <c r="D60" s="54">
        <f>areas!E56</f>
        <v>78291</v>
      </c>
      <c r="E60" s="11">
        <f>correcoes!G113</f>
        <v>10881087698471.586</v>
      </c>
      <c r="F60" s="11">
        <f>correcoes!M113</f>
        <v>2605748163.8044915</v>
      </c>
      <c r="G60" s="57">
        <f t="shared" si="1"/>
        <v>4.6020977490419988E-18</v>
      </c>
      <c r="J60" s="1"/>
      <c r="M60" s="56"/>
      <c r="P60" s="8"/>
    </row>
    <row r="61" spans="2:16" ht="15.75">
      <c r="B61" s="9">
        <f>input!B60</f>
        <v>0</v>
      </c>
      <c r="C61" s="9">
        <f>input!C60</f>
        <v>52</v>
      </c>
      <c r="D61" s="54">
        <f>areas!E57</f>
        <v>81027</v>
      </c>
      <c r="E61" s="11">
        <f>correcoes!G114</f>
        <v>10881087698471.586</v>
      </c>
      <c r="F61" s="11">
        <f>correcoes!M114</f>
        <v>2716617384.4121532</v>
      </c>
      <c r="G61" s="57">
        <f t="shared" si="1"/>
        <v>4.5685430644472441E-18</v>
      </c>
      <c r="J61" s="1"/>
      <c r="M61" s="56"/>
      <c r="P61" s="8"/>
    </row>
    <row r="62" spans="2:16" ht="15.75">
      <c r="B62" s="65">
        <f>input!B61</f>
        <v>0</v>
      </c>
      <c r="C62" s="65">
        <f>input!C61</f>
        <v>53</v>
      </c>
      <c r="D62" s="51">
        <f>areas!E58</f>
        <v>0</v>
      </c>
      <c r="E62" s="66">
        <f>correcoes!G115</f>
        <v>-38248671909778.898</v>
      </c>
      <c r="F62" s="66">
        <f>correcoes!M115</f>
        <v>0</v>
      </c>
      <c r="G62" s="67" t="e">
        <f t="shared" si="1"/>
        <v>#DIV/0!</v>
      </c>
      <c r="J62" s="1"/>
      <c r="M62" s="56"/>
      <c r="P62" s="8"/>
    </row>
    <row r="63" spans="2:16" ht="15.75">
      <c r="B63" s="65">
        <f>input!B62</f>
        <v>0</v>
      </c>
      <c r="C63" s="65">
        <f>input!C62</f>
        <v>54</v>
      </c>
      <c r="D63" s="51">
        <f>areas!E59</f>
        <v>0</v>
      </c>
      <c r="E63" s="66">
        <f>correcoes!G116</f>
        <v>-38248671909778.898</v>
      </c>
      <c r="F63" s="66">
        <f>correcoes!M116</f>
        <v>0</v>
      </c>
      <c r="G63" s="67" t="e">
        <f t="shared" si="1"/>
        <v>#DIV/0!</v>
      </c>
      <c r="J63" s="1"/>
      <c r="M63" s="56"/>
      <c r="P63" s="8"/>
    </row>
    <row r="64" spans="2:16">
      <c r="B64" s="7"/>
      <c r="C64" s="7"/>
      <c r="D64" s="7"/>
      <c r="J64" s="1"/>
      <c r="M64" s="56"/>
      <c r="P64" s="8"/>
    </row>
    <row r="65" spans="1:20">
      <c r="B65" s="7"/>
      <c r="C65" s="7"/>
      <c r="D65" s="7"/>
      <c r="J65" s="1"/>
      <c r="M65" s="56"/>
      <c r="P65" s="8"/>
    </row>
    <row r="66" spans="1:20">
      <c r="B66" s="7"/>
      <c r="C66" s="7"/>
      <c r="D66" s="7"/>
      <c r="J66" s="1"/>
      <c r="M66" s="56"/>
      <c r="P66" s="8"/>
    </row>
    <row r="67" spans="1:20" ht="15.75">
      <c r="B67" s="9"/>
      <c r="C67" s="10"/>
      <c r="D67" s="127" t="str">
        <f>areas!F5</f>
        <v>O2+</v>
      </c>
      <c r="E67" s="128"/>
      <c r="F67" s="11"/>
      <c r="G67" s="11"/>
      <c r="H67" s="58"/>
      <c r="P67" s="8"/>
    </row>
    <row r="68" spans="1:20" ht="15.75">
      <c r="B68" s="9" t="str">
        <f>input!B8</f>
        <v>tempo(ns)</v>
      </c>
      <c r="C68" s="10" t="str">
        <f>input!C8</f>
        <v>medida</v>
      </c>
      <c r="D68" s="5" t="str">
        <f>areas!F5</f>
        <v>O2+</v>
      </c>
      <c r="E68" s="11" t="str">
        <f>correcoes!G62</f>
        <v>n_total</v>
      </c>
      <c r="F68" s="11" t="str">
        <f>correcoes!M62</f>
        <v>Ne</v>
      </c>
      <c r="G68" s="11" t="s">
        <v>38</v>
      </c>
      <c r="H68" s="58"/>
      <c r="P68" s="8"/>
    </row>
    <row r="69" spans="1:20" ht="15.75">
      <c r="B69" s="65">
        <f>input!B9</f>
        <v>0</v>
      </c>
      <c r="C69" s="65">
        <f>input!C9</f>
        <v>1</v>
      </c>
      <c r="D69" s="51">
        <f>areas!F6</f>
        <v>102636</v>
      </c>
      <c r="E69" s="66">
        <f>correcoes!G63</f>
        <v>10551357768214.871</v>
      </c>
      <c r="F69" s="66">
        <f>correcoes!M63</f>
        <v>1522807291.9418759</v>
      </c>
      <c r="G69" s="67">
        <f>D69/(E69*F69*d)</f>
        <v>1.0646213489869918E-17</v>
      </c>
      <c r="H69" s="58"/>
      <c r="P69" s="8"/>
    </row>
    <row r="70" spans="1:20" ht="15.75">
      <c r="B70" s="65">
        <f>input!B10</f>
        <v>0</v>
      </c>
      <c r="C70" s="65">
        <f>input!C10</f>
        <v>2</v>
      </c>
      <c r="D70" s="51">
        <f>areas!F7</f>
        <v>141503</v>
      </c>
      <c r="E70" s="66">
        <f>correcoes!G64</f>
        <v>10551357768214.871</v>
      </c>
      <c r="F70" s="66">
        <f>correcoes!M64</f>
        <v>2107347741.0832233</v>
      </c>
      <c r="G70" s="67">
        <f>D70/(E70*F70*d)</f>
        <v>1.0606444943895372E-17</v>
      </c>
      <c r="H70" s="58"/>
      <c r="I70" s="4" t="str">
        <f>B68</f>
        <v>tempo(ns)</v>
      </c>
      <c r="J70" s="7" t="str">
        <f>G68</f>
        <v>s exp</v>
      </c>
      <c r="P70" s="8"/>
    </row>
    <row r="71" spans="1:20" ht="15.75">
      <c r="B71" s="9">
        <f>input!B11</f>
        <v>100</v>
      </c>
      <c r="C71" s="9">
        <f>input!C11</f>
        <v>3</v>
      </c>
      <c r="D71" s="54">
        <f>areas!F8</f>
        <v>92538</v>
      </c>
      <c r="E71" s="11">
        <f>correcoes!G65</f>
        <v>10881087698471.586</v>
      </c>
      <c r="F71" s="11">
        <f>correcoes!M65</f>
        <v>1344963170.4095113</v>
      </c>
      <c r="G71" s="57">
        <f>D71/(E71*F71*d)</f>
        <v>1.0538678501991706E-17</v>
      </c>
      <c r="H71" s="58"/>
      <c r="I71" s="4">
        <f>AVERAGE(B69:B70)</f>
        <v>0</v>
      </c>
      <c r="J71" s="7">
        <f>AVERAGE(G69:G70)</f>
        <v>1.0626329216882644E-17</v>
      </c>
      <c r="L71" s="4" t="str">
        <f>I70</f>
        <v>tempo(ns)</v>
      </c>
      <c r="M71" s="2" t="s">
        <v>37</v>
      </c>
      <c r="P71" s="8"/>
    </row>
    <row r="72" spans="1:20" ht="15.75">
      <c r="B72" s="9">
        <f>input!B12</f>
        <v>100</v>
      </c>
      <c r="C72" s="9">
        <f>input!C12</f>
        <v>4</v>
      </c>
      <c r="D72" s="54">
        <f>areas!F9</f>
        <v>109408</v>
      </c>
      <c r="E72" s="11">
        <f>correcoes!G66</f>
        <v>10881087698471.586</v>
      </c>
      <c r="F72" s="11">
        <f>correcoes!M66</f>
        <v>1571919471.5984147</v>
      </c>
      <c r="G72" s="57">
        <f>D72/(E72*F72*d)</f>
        <v>1.0660933257672316E-17</v>
      </c>
      <c r="H72" s="58"/>
      <c r="I72" s="4">
        <f>AVERAGE(B71:B72)</f>
        <v>100</v>
      </c>
      <c r="J72" s="7">
        <f>AVERAGE(G71:G72)</f>
        <v>1.0599805879832011E-17</v>
      </c>
      <c r="L72" s="4">
        <f t="shared" ref="L72:L80" si="6">I72</f>
        <v>100</v>
      </c>
      <c r="M72" s="2">
        <f>J72/$J$71</f>
        <v>0.99750399818137625</v>
      </c>
      <c r="P72" s="8"/>
    </row>
    <row r="73" spans="1:20" ht="15.75">
      <c r="A73" s="15"/>
      <c r="B73" s="65">
        <f>input!B13</f>
        <v>200</v>
      </c>
      <c r="C73" s="65">
        <f>input!C13</f>
        <v>5</v>
      </c>
      <c r="D73" s="51">
        <f>areas!F10</f>
        <v>127964</v>
      </c>
      <c r="E73" s="66">
        <f>correcoes!G67</f>
        <v>10881087698471.586</v>
      </c>
      <c r="F73" s="66">
        <f>correcoes!M67</f>
        <v>1861506578.599736</v>
      </c>
      <c r="G73" s="67">
        <f>D73/(E73*F73*d)</f>
        <v>1.0529304146981517E-17</v>
      </c>
      <c r="H73" s="58"/>
      <c r="I73" s="4">
        <f>AVERAGE(B73:B74)</f>
        <v>200</v>
      </c>
      <c r="J73" s="7">
        <f>AVERAGE(G73:G74)</f>
        <v>1.0668627773970123E-17</v>
      </c>
      <c r="L73" s="4">
        <f t="shared" si="6"/>
        <v>200</v>
      </c>
      <c r="M73" s="2">
        <f>J73/$J$71</f>
        <v>1.0039805426901585</v>
      </c>
    </row>
    <row r="74" spans="1:20" ht="15.75">
      <c r="A74" s="15"/>
      <c r="B74" s="65">
        <f>input!B14</f>
        <v>200</v>
      </c>
      <c r="C74" s="65">
        <f>input!C14</f>
        <v>6</v>
      </c>
      <c r="D74" s="51">
        <f>areas!F11</f>
        <v>99922</v>
      </c>
      <c r="E74" s="66">
        <f>correcoes!G68</f>
        <v>10881087698471.586</v>
      </c>
      <c r="F74" s="66">
        <f>correcoes!M68</f>
        <v>1416100819.0224571</v>
      </c>
      <c r="G74" s="67">
        <f t="shared" ref="G74:G122" si="7">D74/(E74*F74*d)</f>
        <v>1.080795140095873E-17</v>
      </c>
      <c r="H74" s="58"/>
      <c r="I74" s="4">
        <f>AVERAGE(B75:B76)</f>
        <v>300</v>
      </c>
      <c r="J74" s="7">
        <f>AVERAGE(G75:G76)</f>
        <v>1.0681572701685367E-17</v>
      </c>
      <c r="L74" s="4">
        <f t="shared" si="6"/>
        <v>300</v>
      </c>
      <c r="M74" s="2">
        <f>J74/$J$71</f>
        <v>1.0051987364286583</v>
      </c>
    </row>
    <row r="75" spans="1:20" ht="15.75">
      <c r="A75" s="15"/>
      <c r="B75" s="9">
        <f>input!B15</f>
        <v>300</v>
      </c>
      <c r="C75" s="9">
        <f>input!C15</f>
        <v>7</v>
      </c>
      <c r="D75" s="54">
        <f>areas!F12</f>
        <v>97080</v>
      </c>
      <c r="E75" s="11">
        <f>correcoes!G69</f>
        <v>10881087698471.586</v>
      </c>
      <c r="F75" s="11">
        <f>correcoes!M69</f>
        <v>1394207239.1017175</v>
      </c>
      <c r="G75" s="57">
        <f t="shared" si="7"/>
        <v>1.0665442368093967E-17</v>
      </c>
      <c r="H75" s="58"/>
      <c r="I75" s="4">
        <f>AVERAGE(B77:B78)</f>
        <v>400</v>
      </c>
      <c r="J75" s="7">
        <f>AVERAGE(G77:G78)</f>
        <v>1.0571179978137699E-17</v>
      </c>
      <c r="L75" s="4">
        <f t="shared" si="6"/>
        <v>400</v>
      </c>
      <c r="M75" s="2">
        <f>J75/$J$71</f>
        <v>0.99481013267899443</v>
      </c>
    </row>
    <row r="76" spans="1:20" ht="15.75">
      <c r="A76" s="15"/>
      <c r="B76" s="9">
        <f>input!B16</f>
        <v>300</v>
      </c>
      <c r="C76" s="9">
        <f>input!C16</f>
        <v>8</v>
      </c>
      <c r="D76" s="54">
        <f>areas!F13</f>
        <v>99631</v>
      </c>
      <c r="E76" s="11">
        <f>correcoes!G70</f>
        <v>10881087698471.586</v>
      </c>
      <c r="F76" s="11">
        <f>correcoes!M70</f>
        <v>1426528295.9048879</v>
      </c>
      <c r="G76" s="57">
        <f t="shared" si="7"/>
        <v>1.0697703035276767E-17</v>
      </c>
      <c r="H76" s="58"/>
      <c r="I76" s="4">
        <f>AVERAGE(B79:B80)</f>
        <v>500</v>
      </c>
      <c r="J76" s="7">
        <f>AVERAGE(G79:G80)</f>
        <v>1.0957553379307847E-17</v>
      </c>
      <c r="L76" s="4">
        <f t="shared" si="6"/>
        <v>500</v>
      </c>
      <c r="M76" s="2">
        <f t="shared" ref="M76:M83" si="8">J76/$J$79</f>
        <v>1.0029410543395159</v>
      </c>
    </row>
    <row r="77" spans="1:20" ht="15.75">
      <c r="B77" s="65">
        <f>input!B17</f>
        <v>400</v>
      </c>
      <c r="C77" s="65">
        <f>input!C17</f>
        <v>9</v>
      </c>
      <c r="D77" s="51">
        <f>areas!F14</f>
        <v>103720</v>
      </c>
      <c r="E77" s="66">
        <f>correcoes!G71</f>
        <v>10881087698471.586</v>
      </c>
      <c r="F77" s="66">
        <f>correcoes!M71</f>
        <v>1507953289.2998681</v>
      </c>
      <c r="G77" s="67">
        <f t="shared" si="7"/>
        <v>1.053540070237068E-17</v>
      </c>
      <c r="H77" s="58"/>
      <c r="I77" s="4">
        <f>AVERAGE(B81:B82)</f>
        <v>600</v>
      </c>
      <c r="J77" s="7">
        <f>AVERAGE(G81:G82)</f>
        <v>1.0925385564797998E-17</v>
      </c>
      <c r="L77" s="4">
        <f t="shared" si="6"/>
        <v>600</v>
      </c>
      <c r="M77" s="2">
        <f t="shared" si="8"/>
        <v>0.99999674545198347</v>
      </c>
    </row>
    <row r="78" spans="1:20" ht="15.75">
      <c r="B78" s="65">
        <f>input!B18</f>
        <v>400</v>
      </c>
      <c r="C78" s="65">
        <f>input!C18</f>
        <v>10</v>
      </c>
      <c r="D78" s="51">
        <f>areas!F15</f>
        <v>98803</v>
      </c>
      <c r="E78" s="66">
        <f>correcoes!G72</f>
        <v>10881087698471.586</v>
      </c>
      <c r="F78" s="66">
        <f>correcoes!M72</f>
        <v>1426775587.8467636</v>
      </c>
      <c r="G78" s="67">
        <f t="shared" si="7"/>
        <v>1.0606959253904719E-17</v>
      </c>
      <c r="H78" s="58"/>
      <c r="I78" s="4">
        <f>AVERAGE(B83:B84)</f>
        <v>800</v>
      </c>
      <c r="J78" s="7">
        <f>AVERAGE(G83:G84)</f>
        <v>1.0869883163082312E-17</v>
      </c>
      <c r="L78" s="4">
        <f t="shared" si="6"/>
        <v>800</v>
      </c>
      <c r="M78" s="2">
        <f t="shared" si="8"/>
        <v>0.99491662990354146</v>
      </c>
      <c r="T78" s="8"/>
    </row>
    <row r="79" spans="1:20" ht="15.75">
      <c r="B79" s="9">
        <f>input!B19</f>
        <v>500</v>
      </c>
      <c r="C79" s="9">
        <f>input!C19</f>
        <v>11</v>
      </c>
      <c r="D79" s="54">
        <f>areas!F16</f>
        <v>111683</v>
      </c>
      <c r="E79" s="11">
        <f>correcoes!G73</f>
        <v>10551357768214.871</v>
      </c>
      <c r="F79" s="11">
        <f>correcoes!M73</f>
        <v>1605691307.7939236</v>
      </c>
      <c r="G79" s="57">
        <f t="shared" si="7"/>
        <v>1.0986653188727306E-17</v>
      </c>
      <c r="H79" s="58"/>
      <c r="I79" s="4">
        <f>AVERAGE(B85:B86)</f>
        <v>0</v>
      </c>
      <c r="J79" s="7">
        <f>AVERAGE(G85:G86)</f>
        <v>1.092542112210564E-17</v>
      </c>
      <c r="L79" s="4">
        <f t="shared" si="6"/>
        <v>0</v>
      </c>
      <c r="M79" s="2">
        <f t="shared" si="8"/>
        <v>1</v>
      </c>
      <c r="T79" s="8"/>
    </row>
    <row r="80" spans="1:20" ht="15.75">
      <c r="B80" s="9">
        <f>input!B20</f>
        <v>500</v>
      </c>
      <c r="C80" s="9">
        <f>input!C20</f>
        <v>12</v>
      </c>
      <c r="D80" s="54">
        <f>areas!F17</f>
        <v>109255</v>
      </c>
      <c r="E80" s="11">
        <f>correcoes!G74</f>
        <v>10551357768214.871</v>
      </c>
      <c r="F80" s="11">
        <f>correcoes!M74</f>
        <v>1579148639.3659182</v>
      </c>
      <c r="G80" s="57">
        <f t="shared" si="7"/>
        <v>1.0928453569888387E-17</v>
      </c>
      <c r="H80" s="58"/>
      <c r="I80" s="4">
        <f>AVERAGE(B87:B88)</f>
        <v>1000</v>
      </c>
      <c r="J80" s="7">
        <f>AVERAGE(G87:G88)</f>
        <v>1.0925941619016876E-17</v>
      </c>
      <c r="L80" s="4">
        <f t="shared" si="6"/>
        <v>1000</v>
      </c>
      <c r="M80" s="2">
        <f t="shared" si="8"/>
        <v>1.0000476409014736</v>
      </c>
      <c r="T80" s="8"/>
    </row>
    <row r="81" spans="2:20" ht="15.75">
      <c r="B81" s="65">
        <f>input!B21</f>
        <v>600</v>
      </c>
      <c r="C81" s="65">
        <f>input!C21</f>
        <v>13</v>
      </c>
      <c r="D81" s="51">
        <f>areas!F18</f>
        <v>126334</v>
      </c>
      <c r="E81" s="66">
        <f>correcoes!G75</f>
        <v>10551357768214.871</v>
      </c>
      <c r="F81" s="66">
        <f>correcoes!M75</f>
        <v>1828361215.3236461</v>
      </c>
      <c r="G81" s="67">
        <f t="shared" si="7"/>
        <v>1.0914369374265445E-17</v>
      </c>
      <c r="H81" s="58"/>
      <c r="I81" s="4">
        <f>AVERAGE(B89:B90)</f>
        <v>1250</v>
      </c>
      <c r="J81" s="7">
        <f>AVERAGE(G89:G90)</f>
        <v>1.0933878909018647E-17</v>
      </c>
      <c r="L81" s="4">
        <f t="shared" ref="L81:L89" si="9">I81</f>
        <v>1250</v>
      </c>
      <c r="M81" s="2">
        <f t="shared" si="8"/>
        <v>1.0007741382980555</v>
      </c>
      <c r="T81" s="8"/>
    </row>
    <row r="82" spans="2:20" ht="15.75">
      <c r="B82" s="65">
        <f>input!B22</f>
        <v>600</v>
      </c>
      <c r="C82" s="65">
        <f>input!C22</f>
        <v>14</v>
      </c>
      <c r="D82" s="51">
        <f>areas!F19</f>
        <v>132819</v>
      </c>
      <c r="E82" s="66">
        <f>correcoes!G76</f>
        <v>10551357768214.871</v>
      </c>
      <c r="F82" s="66">
        <f>correcoes!M76</f>
        <v>1918342509.9075298</v>
      </c>
      <c r="G82" s="67">
        <f t="shared" si="7"/>
        <v>1.0936401755330554E-17</v>
      </c>
      <c r="I82" s="4">
        <f>AVERAGE(B91:B92)</f>
        <v>1500</v>
      </c>
      <c r="J82" s="7">
        <f>AVERAGE(G91:G92)</f>
        <v>1.0920181173036991E-17</v>
      </c>
      <c r="L82" s="4">
        <f t="shared" si="9"/>
        <v>1500</v>
      </c>
      <c r="M82" s="2">
        <f t="shared" si="8"/>
        <v>0.99952038928201614</v>
      </c>
      <c r="T82" s="8"/>
    </row>
    <row r="83" spans="2:20" ht="15.75">
      <c r="B83" s="9">
        <f>input!B23</f>
        <v>800</v>
      </c>
      <c r="C83" s="9">
        <f>input!C23</f>
        <v>15</v>
      </c>
      <c r="D83" s="54">
        <f>areas!F20</f>
        <v>140403</v>
      </c>
      <c r="E83" s="11">
        <f>correcoes!G77</f>
        <v>10386492803086.516</v>
      </c>
      <c r="F83" s="11">
        <f>correcoes!M77</f>
        <v>2070295165.1254957</v>
      </c>
      <c r="G83" s="57">
        <f t="shared" si="7"/>
        <v>1.0882381448479607E-17</v>
      </c>
      <c r="I83" s="4">
        <f>AVERAGE(B93:B94)</f>
        <v>1750</v>
      </c>
      <c r="J83" s="7">
        <f>AVERAGE(G93:G94)</f>
        <v>1.0908416222230561E-17</v>
      </c>
      <c r="L83" s="4">
        <f t="shared" si="9"/>
        <v>1750</v>
      </c>
      <c r="M83" s="2">
        <f t="shared" si="8"/>
        <v>0.99844354742164831</v>
      </c>
      <c r="T83" s="8"/>
    </row>
    <row r="84" spans="2:20" ht="15.75">
      <c r="B84" s="9">
        <f>input!B24</f>
        <v>800</v>
      </c>
      <c r="C84" s="9">
        <f>input!C24</f>
        <v>16</v>
      </c>
      <c r="D84" s="54">
        <f>areas!F21</f>
        <v>117884</v>
      </c>
      <c r="E84" s="11">
        <f>correcoes!G78</f>
        <v>10386492803086.516</v>
      </c>
      <c r="F84" s="11">
        <f>correcoes!M78</f>
        <v>1742245918.0977545</v>
      </c>
      <c r="G84" s="57">
        <f t="shared" si="7"/>
        <v>1.0857384877685017E-17</v>
      </c>
      <c r="I84" s="4">
        <f>AVERAGE(B95:B96)</f>
        <v>2000</v>
      </c>
      <c r="J84" s="7">
        <f>AVERAGE(G95:G96)</f>
        <v>1.1005215199285414E-17</v>
      </c>
      <c r="L84" s="4">
        <f t="shared" si="9"/>
        <v>2000</v>
      </c>
      <c r="M84" s="2">
        <f t="shared" ref="M84:M92" si="10">J84/$J$87</f>
        <v>1.0042088960898914</v>
      </c>
      <c r="T84" s="8"/>
    </row>
    <row r="85" spans="2:20" ht="15.75">
      <c r="B85" s="65">
        <f>input!B25</f>
        <v>0</v>
      </c>
      <c r="C85" s="65">
        <f>input!C25</f>
        <v>17</v>
      </c>
      <c r="D85" s="51">
        <f>areas!F22</f>
        <v>113560</v>
      </c>
      <c r="E85" s="66">
        <f>correcoes!G79</f>
        <v>10551357768214.871</v>
      </c>
      <c r="F85" s="66">
        <f>correcoes!M79</f>
        <v>1643650620.8718626</v>
      </c>
      <c r="G85" s="67">
        <f t="shared" si="7"/>
        <v>1.0913304584537524E-17</v>
      </c>
      <c r="I85" s="4">
        <f>AVERAGE(B97:B98)</f>
        <v>2250</v>
      </c>
      <c r="J85" s="7">
        <f>AVERAGE(G97:G98)</f>
        <v>1.0934853579210734E-17</v>
      </c>
      <c r="L85" s="4">
        <f t="shared" si="9"/>
        <v>2250</v>
      </c>
      <c r="M85" s="2">
        <f t="shared" si="10"/>
        <v>0.99778850688869902</v>
      </c>
      <c r="T85" s="8"/>
    </row>
    <row r="86" spans="2:20" ht="15.75">
      <c r="B86" s="65">
        <f>input!B26</f>
        <v>0</v>
      </c>
      <c r="C86" s="65">
        <f>input!C26</f>
        <v>18</v>
      </c>
      <c r="D86" s="51">
        <f>areas!F23</f>
        <v>104541</v>
      </c>
      <c r="E86" s="66">
        <f>correcoes!G80</f>
        <v>10551357768214.871</v>
      </c>
      <c r="F86" s="66">
        <f>correcoes!M80</f>
        <v>1509758520.4755616</v>
      </c>
      <c r="G86" s="67">
        <f t="shared" si="7"/>
        <v>1.0937537659673758E-17</v>
      </c>
      <c r="I86" s="4">
        <f>AVERAGE(B99:B100)</f>
        <v>2500</v>
      </c>
      <c r="J86" s="7">
        <f>AVERAGE(G99:G100)</f>
        <v>1.0958874747471467E-17</v>
      </c>
      <c r="L86" s="4">
        <f t="shared" si="9"/>
        <v>2500</v>
      </c>
      <c r="M86" s="2">
        <f t="shared" si="10"/>
        <v>0.9999804014064424</v>
      </c>
      <c r="T86" s="8"/>
    </row>
    <row r="87" spans="2:20" ht="15.75">
      <c r="B87" s="9">
        <f>input!B27</f>
        <v>1000</v>
      </c>
      <c r="C87" s="9">
        <f>input!C27</f>
        <v>19</v>
      </c>
      <c r="D87" s="54">
        <f>areas!F24</f>
        <v>106498</v>
      </c>
      <c r="E87" s="11">
        <f>correcoes!G81</f>
        <v>10386492803086.516</v>
      </c>
      <c r="F87" s="11">
        <f>correcoes!M81</f>
        <v>1543942509.9075298</v>
      </c>
      <c r="G87" s="57">
        <f t="shared" si="7"/>
        <v>1.1068535239243614E-17</v>
      </c>
      <c r="I87" s="4">
        <f>AVERAGE(B101:B102)</f>
        <v>0</v>
      </c>
      <c r="J87" s="7">
        <f>AVERAGE(G101:G102)</f>
        <v>1.0959089530212931E-17</v>
      </c>
      <c r="L87" s="4">
        <f t="shared" si="9"/>
        <v>0</v>
      </c>
      <c r="M87" s="2">
        <f t="shared" si="10"/>
        <v>1</v>
      </c>
      <c r="T87" s="8"/>
    </row>
    <row r="88" spans="2:20" ht="15.75">
      <c r="B88" s="9">
        <f>input!B28</f>
        <v>1000</v>
      </c>
      <c r="C88" s="9">
        <f>input!C28</f>
        <v>20</v>
      </c>
      <c r="D88" s="54">
        <f>areas!F25</f>
        <v>107595</v>
      </c>
      <c r="E88" s="11">
        <f>correcoes!G82</f>
        <v>10551357768214.871</v>
      </c>
      <c r="F88" s="11">
        <f>correcoes!M82</f>
        <v>1576082219.286658</v>
      </c>
      <c r="G88" s="57">
        <f t="shared" si="7"/>
        <v>1.078334799879014E-17</v>
      </c>
      <c r="I88" s="4">
        <f>AVERAGE(B103:B104)</f>
        <v>3000</v>
      </c>
      <c r="J88" s="7">
        <f>AVERAGE(G103:G104)</f>
        <v>1.0852099500717953E-17</v>
      </c>
      <c r="L88" s="4">
        <f t="shared" si="9"/>
        <v>3000</v>
      </c>
      <c r="M88" s="2">
        <f t="shared" si="10"/>
        <v>0.99023732498945116</v>
      </c>
      <c r="Q88" s="1">
        <v>100</v>
      </c>
      <c r="R88" s="2">
        <v>1</v>
      </c>
      <c r="T88" s="8"/>
    </row>
    <row r="89" spans="2:20" ht="15.75">
      <c r="B89" s="65">
        <f>input!B29</f>
        <v>1250</v>
      </c>
      <c r="C89" s="65">
        <f>input!C29</f>
        <v>21</v>
      </c>
      <c r="D89" s="51">
        <f>areas!F26</f>
        <v>91900</v>
      </c>
      <c r="E89" s="66">
        <f>correcoes!G83</f>
        <v>10716222733343.225</v>
      </c>
      <c r="F89" s="66">
        <f>correcoes!M83</f>
        <v>1335302298.5468957</v>
      </c>
      <c r="G89" s="67">
        <f t="shared" si="7"/>
        <v>1.0703921926145863E-17</v>
      </c>
      <c r="I89" s="4">
        <f>AVERAGE(B105:B106)</f>
        <v>3500</v>
      </c>
      <c r="J89" s="7">
        <f>AVERAGE(G105:G106)</f>
        <v>1.067863573791964E-17</v>
      </c>
      <c r="L89" s="4">
        <f t="shared" si="9"/>
        <v>3500</v>
      </c>
      <c r="M89" s="2">
        <f t="shared" si="10"/>
        <v>0.97440902444312438</v>
      </c>
      <c r="Q89" s="1">
        <v>300</v>
      </c>
      <c r="R89" s="2">
        <v>1</v>
      </c>
      <c r="T89" s="8"/>
    </row>
    <row r="90" spans="2:20" ht="15.75">
      <c r="B90" s="65">
        <f>input!B30</f>
        <v>1250</v>
      </c>
      <c r="C90" s="65">
        <f>input!C30</f>
        <v>22</v>
      </c>
      <c r="D90" s="51">
        <f>areas!F27</f>
        <v>138680</v>
      </c>
      <c r="E90" s="66">
        <f>correcoes!G84</f>
        <v>10716222733343.225</v>
      </c>
      <c r="F90" s="66">
        <f>correcoes!M84</f>
        <v>1932001268.1638048</v>
      </c>
      <c r="G90" s="67">
        <f t="shared" si="7"/>
        <v>1.1163835891891432E-17</v>
      </c>
      <c r="I90" s="4">
        <f>AVERAGE(B107:B108)</f>
        <v>4000</v>
      </c>
      <c r="J90" s="7">
        <f>AVERAGE(G107:G108)</f>
        <v>1.0438865996222754E-17</v>
      </c>
      <c r="L90" s="4">
        <f t="shared" ref="L90:L96" si="11">I90</f>
        <v>4000</v>
      </c>
      <c r="M90" s="2">
        <f t="shared" si="10"/>
        <v>0.95253040569145997</v>
      </c>
      <c r="Q90" s="1">
        <v>500</v>
      </c>
      <c r="R90" s="2">
        <v>1</v>
      </c>
      <c r="T90" s="8"/>
    </row>
    <row r="91" spans="2:20" ht="15.75">
      <c r="B91" s="9">
        <f>input!B31</f>
        <v>1500</v>
      </c>
      <c r="C91" s="9">
        <f>input!C31</f>
        <v>23</v>
      </c>
      <c r="D91" s="54">
        <f>areas!F28</f>
        <v>122550</v>
      </c>
      <c r="E91" s="11">
        <f>correcoes!G85</f>
        <v>11045952663599.945</v>
      </c>
      <c r="F91" s="11">
        <f>correcoes!M85</f>
        <v>1685129722.5891678</v>
      </c>
      <c r="G91" s="57">
        <f t="shared" si="7"/>
        <v>1.0973004280669234E-17</v>
      </c>
      <c r="I91" s="4">
        <f>AVERAGE(B109:B110)</f>
        <v>4700</v>
      </c>
      <c r="J91" s="7">
        <f>AVERAGE(G109:G110)</f>
        <v>9.9386892486657978E-18</v>
      </c>
      <c r="L91" s="4">
        <f t="shared" si="11"/>
        <v>4700</v>
      </c>
      <c r="M91" s="2">
        <f t="shared" si="10"/>
        <v>0.90689004969491227</v>
      </c>
      <c r="Q91" s="1">
        <v>1000</v>
      </c>
      <c r="R91" s="2">
        <v>1</v>
      </c>
      <c r="T91" s="8"/>
    </row>
    <row r="92" spans="2:20" ht="15.75">
      <c r="B92" s="9">
        <f>input!B32</f>
        <v>1500</v>
      </c>
      <c r="C92" s="9">
        <f>input!C32</f>
        <v>24</v>
      </c>
      <c r="D92" s="54">
        <f>areas!F29</f>
        <v>142613</v>
      </c>
      <c r="E92" s="11">
        <f>correcoes!G86</f>
        <v>11210817628728.301</v>
      </c>
      <c r="F92" s="11">
        <f>correcoes!M86</f>
        <v>1950952073.976222</v>
      </c>
      <c r="G92" s="57">
        <f t="shared" si="7"/>
        <v>1.0867358065404746E-17</v>
      </c>
      <c r="I92" s="4">
        <f>AVERAGE(B111:B112)</f>
        <v>5400</v>
      </c>
      <c r="J92" s="7">
        <f>AVERAGE(G111:G112)</f>
        <v>9.3430060825237474E-18</v>
      </c>
      <c r="L92" s="4">
        <f t="shared" si="11"/>
        <v>5400</v>
      </c>
      <c r="M92" s="2">
        <f t="shared" si="10"/>
        <v>0.85253488045390724</v>
      </c>
      <c r="Q92" s="1">
        <v>1500</v>
      </c>
      <c r="R92" s="2">
        <v>1</v>
      </c>
      <c r="T92" s="8"/>
    </row>
    <row r="93" spans="2:20" ht="15.75">
      <c r="B93" s="65">
        <f>input!B33</f>
        <v>1750</v>
      </c>
      <c r="C93" s="65">
        <f>input!C33</f>
        <v>25</v>
      </c>
      <c r="D93" s="51">
        <f>areas!F30</f>
        <v>131604</v>
      </c>
      <c r="E93" s="66">
        <f>correcoes!G87</f>
        <v>11045952663599.945</v>
      </c>
      <c r="F93" s="66">
        <f>correcoes!M87</f>
        <v>1812583989.4319682</v>
      </c>
      <c r="G93" s="67">
        <f t="shared" si="7"/>
        <v>1.0955104429398699E-17</v>
      </c>
      <c r="I93" s="4">
        <f>AVERAGE(B113:B114)</f>
        <v>6200</v>
      </c>
      <c r="J93" s="7">
        <f>AVERAGE(G113:G114)</f>
        <v>8.3656561903104454E-18</v>
      </c>
      <c r="L93" s="4">
        <f t="shared" si="11"/>
        <v>6200</v>
      </c>
      <c r="M93" s="2">
        <f>J93/$J$96</f>
        <v>0.76605696694042846</v>
      </c>
      <c r="Q93" s="1">
        <v>2000</v>
      </c>
      <c r="R93" s="2">
        <v>1</v>
      </c>
      <c r="T93" s="8"/>
    </row>
    <row r="94" spans="2:20" ht="15.75">
      <c r="B94" s="65">
        <f>input!B34</f>
        <v>1750</v>
      </c>
      <c r="C94" s="65">
        <f>input!C34</f>
        <v>26</v>
      </c>
      <c r="D94" s="51">
        <f>areas!F31</f>
        <v>115945</v>
      </c>
      <c r="E94" s="66">
        <f>correcoes!G88</f>
        <v>11210817628728.301</v>
      </c>
      <c r="F94" s="66">
        <f>correcoes!M88</f>
        <v>1586954821.664465</v>
      </c>
      <c r="G94" s="67">
        <f t="shared" si="7"/>
        <v>1.0861728015062425E-17</v>
      </c>
      <c r="I94" s="4">
        <f>AVERAGE(B115:B116)</f>
        <v>7000</v>
      </c>
      <c r="J94" s="7">
        <f>AVERAGE(G115:G116)</f>
        <v>7.5858375928600877E-18</v>
      </c>
      <c r="L94" s="4">
        <f t="shared" si="11"/>
        <v>7000</v>
      </c>
      <c r="M94" s="2">
        <f>J94/$J$96</f>
        <v>0.69464768882325167</v>
      </c>
      <c r="Q94" s="1">
        <v>2500</v>
      </c>
      <c r="R94" s="2">
        <v>1</v>
      </c>
      <c r="T94" s="8"/>
    </row>
    <row r="95" spans="2:20" ht="15.75">
      <c r="B95" s="9">
        <f>input!B35</f>
        <v>2000</v>
      </c>
      <c r="C95" s="9">
        <f>input!C35</f>
        <v>27</v>
      </c>
      <c r="D95" s="54">
        <f>areas!F32</f>
        <v>113082</v>
      </c>
      <c r="E95" s="11">
        <f>correcoes!G89</f>
        <v>11045952663599.945</v>
      </c>
      <c r="F95" s="11">
        <f>correcoes!M89</f>
        <v>1557444649.9339497</v>
      </c>
      <c r="G95" s="57">
        <f t="shared" si="7"/>
        <v>1.095535440671772E-17</v>
      </c>
      <c r="I95" s="4">
        <f>AVERAGE(B117:B118)</f>
        <v>8000</v>
      </c>
      <c r="J95" s="7">
        <f>AVERAGE(G117:G118)</f>
        <v>6.7698682076707224E-18</v>
      </c>
      <c r="L95" s="4">
        <f t="shared" si="11"/>
        <v>8000</v>
      </c>
      <c r="M95" s="2">
        <f>J95/$J$96</f>
        <v>0.61992802331053176</v>
      </c>
      <c r="Q95" s="1">
        <v>0</v>
      </c>
      <c r="R95" s="2">
        <v>1</v>
      </c>
      <c r="T95" s="8"/>
    </row>
    <row r="96" spans="2:20" ht="15.75">
      <c r="B96" s="9">
        <f>input!B36</f>
        <v>2000</v>
      </c>
      <c r="C96" s="9">
        <f>input!C36</f>
        <v>28</v>
      </c>
      <c r="D96" s="54">
        <f>areas!F33</f>
        <v>137573</v>
      </c>
      <c r="E96" s="11">
        <f>correcoes!G90</f>
        <v>10881087698471.586</v>
      </c>
      <c r="F96" s="11">
        <f>correcoes!M90</f>
        <v>1906109801.8494058</v>
      </c>
      <c r="G96" s="57">
        <f t="shared" si="7"/>
        <v>1.1055075991853107E-17</v>
      </c>
      <c r="I96" s="4">
        <f>AVERAGE(B119:B120)</f>
        <v>0</v>
      </c>
      <c r="J96" s="7">
        <f>AVERAGE(G119:G120)</f>
        <v>1.0920410036504493E-17</v>
      </c>
      <c r="L96" s="4">
        <f t="shared" si="11"/>
        <v>0</v>
      </c>
      <c r="M96" s="2">
        <f>J96/$J$96</f>
        <v>1</v>
      </c>
      <c r="Q96" s="1">
        <v>3000</v>
      </c>
      <c r="R96" s="2">
        <v>0.99</v>
      </c>
      <c r="T96" s="8"/>
    </row>
    <row r="97" spans="2:20" ht="15.75">
      <c r="B97" s="65">
        <f>input!B37</f>
        <v>2250</v>
      </c>
      <c r="C97" s="65">
        <f>input!C37</f>
        <v>29</v>
      </c>
      <c r="D97" s="51">
        <f>areas!F34</f>
        <v>119142</v>
      </c>
      <c r="E97" s="66">
        <f>correcoes!G91</f>
        <v>11045952663599.945</v>
      </c>
      <c r="F97" s="66">
        <f>correcoes!M91</f>
        <v>1642587265.5217967</v>
      </c>
      <c r="G97" s="67">
        <f t="shared" si="7"/>
        <v>1.0944149235353706E-17</v>
      </c>
      <c r="Q97" s="1">
        <v>3500</v>
      </c>
      <c r="R97" s="2">
        <v>0.98</v>
      </c>
      <c r="T97" s="8"/>
    </row>
    <row r="98" spans="2:20" ht="15.75">
      <c r="B98" s="65">
        <f>input!B38</f>
        <v>2250</v>
      </c>
      <c r="C98" s="65">
        <f>input!C38</f>
        <v>30</v>
      </c>
      <c r="D98" s="51">
        <f>areas!F35</f>
        <v>120701</v>
      </c>
      <c r="E98" s="66">
        <f>correcoes!G92</f>
        <v>11045952663599.945</v>
      </c>
      <c r="F98" s="66">
        <f>correcoes!M92</f>
        <v>1666912549.5376489</v>
      </c>
      <c r="G98" s="67">
        <f t="shared" si="7"/>
        <v>1.092555792306776E-17</v>
      </c>
      <c r="J98" s="1"/>
      <c r="M98" s="56"/>
      <c r="Q98" s="1">
        <v>4000</v>
      </c>
      <c r="R98" s="2">
        <v>0.95</v>
      </c>
      <c r="T98" s="8"/>
    </row>
    <row r="99" spans="2:20" ht="15.75">
      <c r="B99" s="9">
        <f>input!B39</f>
        <v>2500</v>
      </c>
      <c r="C99" s="9">
        <f>input!C39</f>
        <v>31</v>
      </c>
      <c r="D99" s="54">
        <f>areas!F36</f>
        <v>122048</v>
      </c>
      <c r="E99" s="11">
        <f>correcoes!G93</f>
        <v>10881087698471.586</v>
      </c>
      <c r="F99" s="11">
        <f>correcoes!M93</f>
        <v>1711416856.0105679</v>
      </c>
      <c r="G99" s="57">
        <f t="shared" si="7"/>
        <v>1.0923235600290094E-17</v>
      </c>
      <c r="Q99" s="1">
        <v>5000</v>
      </c>
      <c r="R99" s="2">
        <v>0.88</v>
      </c>
      <c r="T99" s="8"/>
    </row>
    <row r="100" spans="2:20" ht="15.75">
      <c r="B100" s="9">
        <f>input!B40</f>
        <v>2500</v>
      </c>
      <c r="C100" s="9">
        <f>input!C40</f>
        <v>32</v>
      </c>
      <c r="D100" s="54">
        <f>areas!F37</f>
        <v>106627</v>
      </c>
      <c r="E100" s="11">
        <f>correcoes!G94</f>
        <v>10881087698471.586</v>
      </c>
      <c r="F100" s="11">
        <f>correcoes!M94</f>
        <v>1485482694.8480847</v>
      </c>
      <c r="G100" s="57">
        <f t="shared" si="7"/>
        <v>1.099451389465284E-17</v>
      </c>
      <c r="Q100" s="1">
        <v>6000</v>
      </c>
      <c r="R100" s="2">
        <v>0.78</v>
      </c>
      <c r="T100" s="8"/>
    </row>
    <row r="101" spans="2:20" ht="15.75">
      <c r="B101" s="65">
        <f>input!B41</f>
        <v>0</v>
      </c>
      <c r="C101" s="65">
        <f>input!C41</f>
        <v>33</v>
      </c>
      <c r="D101" s="51">
        <f>areas!F38</f>
        <v>138015</v>
      </c>
      <c r="E101" s="66">
        <f>correcoes!G95</f>
        <v>11210817628728.301</v>
      </c>
      <c r="F101" s="66">
        <f>correcoes!M95</f>
        <v>1886969405.5482168</v>
      </c>
      <c r="G101" s="67">
        <f t="shared" si="7"/>
        <v>1.0873588482334923E-17</v>
      </c>
      <c r="Q101" s="1">
        <v>7000</v>
      </c>
      <c r="R101" s="2">
        <v>0.68</v>
      </c>
      <c r="T101" s="8"/>
    </row>
    <row r="102" spans="2:20" ht="15.75">
      <c r="B102" s="65">
        <f>input!B42</f>
        <v>0</v>
      </c>
      <c r="C102" s="65">
        <f>input!C42</f>
        <v>34</v>
      </c>
      <c r="D102" s="51">
        <f>areas!F39</f>
        <v>123948</v>
      </c>
      <c r="E102" s="66">
        <f>correcoes!G96</f>
        <v>11210817628728.301</v>
      </c>
      <c r="F102" s="66">
        <f>correcoes!M96</f>
        <v>1668404544.2536328</v>
      </c>
      <c r="G102" s="67">
        <f t="shared" si="7"/>
        <v>1.1044590578090939E-17</v>
      </c>
      <c r="Q102" s="1">
        <v>8000</v>
      </c>
      <c r="R102" s="2">
        <v>0.59</v>
      </c>
      <c r="T102" s="8"/>
    </row>
    <row r="103" spans="2:20" ht="15.75">
      <c r="B103" s="9">
        <f>input!B43</f>
        <v>3000</v>
      </c>
      <c r="C103" s="9">
        <f>input!C43</f>
        <v>35</v>
      </c>
      <c r="D103" s="54">
        <f>areas!F40</f>
        <v>128933</v>
      </c>
      <c r="E103" s="11">
        <f>correcoes!G97</f>
        <v>10716222733343.225</v>
      </c>
      <c r="F103" s="11">
        <f>correcoes!M97</f>
        <v>1838393025.0990756</v>
      </c>
      <c r="G103" s="57">
        <f t="shared" si="7"/>
        <v>1.0907688883077547E-17</v>
      </c>
      <c r="Q103" s="1">
        <v>0</v>
      </c>
      <c r="R103" s="2">
        <v>1</v>
      </c>
      <c r="T103" s="8"/>
    </row>
    <row r="104" spans="2:20" ht="15.75">
      <c r="B104" s="9">
        <f>input!B44</f>
        <v>3000</v>
      </c>
      <c r="C104" s="9">
        <f>input!C44</f>
        <v>36</v>
      </c>
      <c r="D104" s="54">
        <f>areas!F41</f>
        <v>132461</v>
      </c>
      <c r="E104" s="11">
        <f>correcoes!G98</f>
        <v>10551357768214.871</v>
      </c>
      <c r="F104" s="11">
        <f>correcoes!M98</f>
        <v>1937961003.963012</v>
      </c>
      <c r="G104" s="57">
        <f t="shared" si="7"/>
        <v>1.0796510118358361E-17</v>
      </c>
    </row>
    <row r="105" spans="2:20" ht="15.75">
      <c r="B105" s="65">
        <f>input!B45</f>
        <v>3500</v>
      </c>
      <c r="C105" s="65">
        <f>input!C45</f>
        <v>37</v>
      </c>
      <c r="D105" s="51">
        <f>areas!F42</f>
        <v>128307</v>
      </c>
      <c r="E105" s="66">
        <f>correcoes!G99</f>
        <v>10551357768214.871</v>
      </c>
      <c r="F105" s="66">
        <f>correcoes!M99</f>
        <v>1893596829.5904889</v>
      </c>
      <c r="G105" s="67">
        <f t="shared" si="7"/>
        <v>1.0702943515417348E-17</v>
      </c>
    </row>
    <row r="106" spans="2:20" ht="15.75">
      <c r="B106" s="65">
        <f>input!B46</f>
        <v>3500</v>
      </c>
      <c r="C106" s="65">
        <f>input!C46</f>
        <v>38</v>
      </c>
      <c r="D106" s="51">
        <f>areas!F43</f>
        <v>132071</v>
      </c>
      <c r="E106" s="66">
        <f>correcoes!G100</f>
        <v>10551357768214.871</v>
      </c>
      <c r="F106" s="66">
        <f>correcoes!M100</f>
        <v>1958041109.6433291</v>
      </c>
      <c r="G106" s="67">
        <f t="shared" si="7"/>
        <v>1.0654327960421934E-17</v>
      </c>
    </row>
    <row r="107" spans="2:20" ht="15.75">
      <c r="B107" s="9">
        <f>input!B47</f>
        <v>4000</v>
      </c>
      <c r="C107" s="9">
        <f>input!C47</f>
        <v>39</v>
      </c>
      <c r="D107" s="54">
        <f>areas!F44</f>
        <v>139633</v>
      </c>
      <c r="E107" s="11">
        <f>correcoes!G101</f>
        <v>10551357768214.871</v>
      </c>
      <c r="F107" s="11">
        <f>correcoes!M101</f>
        <v>2125177490.0924704</v>
      </c>
      <c r="G107" s="57">
        <f t="shared" si="7"/>
        <v>1.0378468278481644E-17</v>
      </c>
    </row>
    <row r="108" spans="2:20" ht="15.75">
      <c r="B108" s="9">
        <f>input!B48</f>
        <v>4000</v>
      </c>
      <c r="C108" s="9">
        <f>input!C48</f>
        <v>40</v>
      </c>
      <c r="D108" s="54">
        <f>areas!F45</f>
        <v>138717</v>
      </c>
      <c r="E108" s="11">
        <f>correcoes!G102</f>
        <v>10551357768214.871</v>
      </c>
      <c r="F108" s="11">
        <f>correcoes!M102</f>
        <v>2086946155.8784678</v>
      </c>
      <c r="G108" s="57">
        <f t="shared" si="7"/>
        <v>1.0499263713963864E-17</v>
      </c>
    </row>
    <row r="109" spans="2:20" ht="15.75">
      <c r="B109" s="65">
        <f>input!B49</f>
        <v>4700</v>
      </c>
      <c r="C109" s="65">
        <f>input!C49</f>
        <v>41</v>
      </c>
      <c r="D109" s="51">
        <f>areas!F46</f>
        <v>130615</v>
      </c>
      <c r="E109" s="66">
        <f>correcoes!G103</f>
        <v>10716222733343.225</v>
      </c>
      <c r="F109" s="66">
        <f>correcoes!M103</f>
        <v>2043414531.0435934</v>
      </c>
      <c r="G109" s="67">
        <f t="shared" si="7"/>
        <v>9.9413095114519234E-18</v>
      </c>
    </row>
    <row r="110" spans="2:20" ht="15.75">
      <c r="B110" s="65">
        <f>input!B50</f>
        <v>4700</v>
      </c>
      <c r="C110" s="65">
        <f>input!C50</f>
        <v>42</v>
      </c>
      <c r="D110" s="51">
        <f>areas!F47</f>
        <v>130108</v>
      </c>
      <c r="E110" s="66">
        <f>correcoes!G104</f>
        <v>10716222733343.225</v>
      </c>
      <c r="F110" s="66">
        <f>correcoes!M104</f>
        <v>2036556301.1889038</v>
      </c>
      <c r="G110" s="67">
        <f t="shared" si="7"/>
        <v>9.9360689858796721E-18</v>
      </c>
    </row>
    <row r="111" spans="2:20" ht="15.75">
      <c r="B111" s="9">
        <f>input!B51</f>
        <v>5400</v>
      </c>
      <c r="C111" s="9">
        <f>input!C51</f>
        <v>43</v>
      </c>
      <c r="D111" s="54">
        <f>areas!F48</f>
        <v>147928</v>
      </c>
      <c r="E111" s="11">
        <f>correcoes!G105</f>
        <v>10881087698471.586</v>
      </c>
      <c r="F111" s="11">
        <f>correcoes!M105</f>
        <v>2428794293.2628798</v>
      </c>
      <c r="G111" s="57">
        <f t="shared" si="7"/>
        <v>9.3290214321925054E-18</v>
      </c>
    </row>
    <row r="112" spans="2:20" ht="15.75">
      <c r="B112" s="9">
        <f>input!B52</f>
        <v>5400</v>
      </c>
      <c r="C112" s="9">
        <f>input!C52</f>
        <v>44</v>
      </c>
      <c r="D112" s="54">
        <f>areas!F49</f>
        <v>142425</v>
      </c>
      <c r="E112" s="11">
        <f>correcoes!G106</f>
        <v>10881087698471.586</v>
      </c>
      <c r="F112" s="11">
        <f>correcoes!M106</f>
        <v>2331451941.8758259</v>
      </c>
      <c r="G112" s="57">
        <f t="shared" si="7"/>
        <v>9.3569907328549879E-18</v>
      </c>
    </row>
    <row r="113" spans="2:7" ht="15.75">
      <c r="B113" s="65">
        <f>input!B53</f>
        <v>6200</v>
      </c>
      <c r="C113" s="65">
        <f>input!C53</f>
        <v>45</v>
      </c>
      <c r="D113" s="51">
        <f>areas!F50</f>
        <v>133035</v>
      </c>
      <c r="E113" s="66">
        <f>correcoes!G107</f>
        <v>11540547558985.018</v>
      </c>
      <c r="F113" s="66">
        <f>correcoes!M107</f>
        <v>2292726023.7780714</v>
      </c>
      <c r="G113" s="67">
        <f t="shared" si="7"/>
        <v>8.3798469745050225E-18</v>
      </c>
    </row>
    <row r="114" spans="2:7" ht="15.75">
      <c r="B114" s="65">
        <f>input!B54</f>
        <v>6200</v>
      </c>
      <c r="C114" s="65">
        <f>input!C54</f>
        <v>46</v>
      </c>
      <c r="D114" s="51">
        <f>areas!F51</f>
        <v>146801</v>
      </c>
      <c r="E114" s="66">
        <f>correcoes!G108</f>
        <v>11540547558985.018</v>
      </c>
      <c r="F114" s="66">
        <f>correcoes!M108</f>
        <v>2538567186.261559</v>
      </c>
      <c r="G114" s="67">
        <f t="shared" si="7"/>
        <v>8.3514654061158669E-18</v>
      </c>
    </row>
    <row r="115" spans="2:7" ht="15.75">
      <c r="B115" s="9">
        <f>input!B55</f>
        <v>7000</v>
      </c>
      <c r="C115" s="9">
        <f>input!C55</f>
        <v>47</v>
      </c>
      <c r="D115" s="54">
        <f>areas!F52</f>
        <v>125031</v>
      </c>
      <c r="E115" s="11">
        <f>correcoes!G109</f>
        <v>11870277489241.732</v>
      </c>
      <c r="F115" s="11">
        <f>correcoes!M109</f>
        <v>2306755719.9471598</v>
      </c>
      <c r="G115" s="57">
        <f t="shared" si="7"/>
        <v>7.6103385430336789E-18</v>
      </c>
    </row>
    <row r="116" spans="2:7" ht="15.75">
      <c r="B116" s="9">
        <f>input!B56</f>
        <v>7000</v>
      </c>
      <c r="C116" s="9">
        <f>input!C56</f>
        <v>48</v>
      </c>
      <c r="D116" s="54">
        <f>areas!F53</f>
        <v>136838</v>
      </c>
      <c r="E116" s="11">
        <f>correcoes!G110</f>
        <v>11870277489241.732</v>
      </c>
      <c r="F116" s="11">
        <f>correcoes!M110</f>
        <v>2540949431.9682961</v>
      </c>
      <c r="G116" s="57">
        <f t="shared" si="7"/>
        <v>7.5613366426864965E-18</v>
      </c>
    </row>
    <row r="117" spans="2:7" ht="15.75">
      <c r="B117" s="65">
        <f>input!B57</f>
        <v>8000</v>
      </c>
      <c r="C117" s="65">
        <f>input!C57</f>
        <v>49</v>
      </c>
      <c r="D117" s="51">
        <f>areas!F54</f>
        <v>118626</v>
      </c>
      <c r="E117" s="66">
        <f>correcoes!G111</f>
        <v>12035142454370.082</v>
      </c>
      <c r="F117" s="66">
        <f>correcoes!M111</f>
        <v>2423403328.929987</v>
      </c>
      <c r="G117" s="67">
        <f t="shared" si="7"/>
        <v>6.7787825184161664E-18</v>
      </c>
    </row>
    <row r="118" spans="2:7" ht="15.75">
      <c r="B118" s="65">
        <f>input!B58</f>
        <v>8000</v>
      </c>
      <c r="C118" s="65">
        <f>input!C58</f>
        <v>50</v>
      </c>
      <c r="D118" s="51">
        <f>areas!F55</f>
        <v>127028</v>
      </c>
      <c r="E118" s="66">
        <f>correcoes!G112</f>
        <v>12035142454370.082</v>
      </c>
      <c r="F118" s="66">
        <f>correcoes!M112</f>
        <v>2601890409.5112286</v>
      </c>
      <c r="G118" s="67">
        <f t="shared" si="7"/>
        <v>6.7609538969252777E-18</v>
      </c>
    </row>
    <row r="119" spans="2:7" ht="15.75">
      <c r="B119" s="9">
        <f>input!B59</f>
        <v>0</v>
      </c>
      <c r="C119" s="9">
        <f>input!C59</f>
        <v>51</v>
      </c>
      <c r="D119" s="54">
        <f>areas!F56</f>
        <v>185850</v>
      </c>
      <c r="E119" s="11">
        <f>correcoes!G113</f>
        <v>10881087698471.586</v>
      </c>
      <c r="F119" s="11">
        <f>correcoes!M113</f>
        <v>2605748163.8044915</v>
      </c>
      <c r="G119" s="57">
        <f t="shared" si="7"/>
        <v>1.0924625648662753E-17</v>
      </c>
    </row>
    <row r="120" spans="2:7" ht="15.75">
      <c r="B120" s="9">
        <f>input!B60</f>
        <v>0</v>
      </c>
      <c r="C120" s="9">
        <f>input!C60</f>
        <v>52</v>
      </c>
      <c r="D120" s="54">
        <f>areas!F57</f>
        <v>193608</v>
      </c>
      <c r="E120" s="11">
        <f>correcoes!G114</f>
        <v>10881087698471.586</v>
      </c>
      <c r="F120" s="11">
        <f>correcoes!M114</f>
        <v>2716617384.4121532</v>
      </c>
      <c r="G120" s="57">
        <f t="shared" si="7"/>
        <v>1.0916194424346231E-17</v>
      </c>
    </row>
    <row r="121" spans="2:7" ht="15.75">
      <c r="B121" s="65">
        <f>input!B61</f>
        <v>0</v>
      </c>
      <c r="C121" s="65">
        <f>input!C61</f>
        <v>53</v>
      </c>
      <c r="D121" s="51">
        <f>areas!F58</f>
        <v>0</v>
      </c>
      <c r="E121" s="66">
        <f>correcoes!G115</f>
        <v>-38248671909778.898</v>
      </c>
      <c r="F121" s="66">
        <f>correcoes!M115</f>
        <v>0</v>
      </c>
      <c r="G121" s="67" t="e">
        <f t="shared" si="7"/>
        <v>#DIV/0!</v>
      </c>
    </row>
    <row r="122" spans="2:7" ht="15.75">
      <c r="B122" s="65">
        <f>input!B62</f>
        <v>0</v>
      </c>
      <c r="C122" s="65">
        <f>input!C62</f>
        <v>54</v>
      </c>
      <c r="D122" s="51">
        <f>areas!F59</f>
        <v>0</v>
      </c>
      <c r="E122" s="66">
        <f>correcoes!G116</f>
        <v>-38248671909778.898</v>
      </c>
      <c r="F122" s="66">
        <f>correcoes!M116</f>
        <v>0</v>
      </c>
      <c r="G122" s="67" t="e">
        <f t="shared" si="7"/>
        <v>#DIV/0!</v>
      </c>
    </row>
    <row r="123" spans="2:7">
      <c r="B123" s="8"/>
      <c r="C123" s="8"/>
      <c r="D123" s="16"/>
      <c r="E123" s="17"/>
      <c r="F123" s="17"/>
      <c r="G123" s="17"/>
    </row>
    <row r="124" spans="2:7">
      <c r="B124" s="8"/>
      <c r="C124" s="8"/>
      <c r="D124" s="16"/>
      <c r="E124" s="17"/>
      <c r="F124" s="17"/>
      <c r="G124" s="17"/>
    </row>
    <row r="125" spans="2:7">
      <c r="B125" s="8"/>
      <c r="C125" s="8"/>
      <c r="D125" s="16"/>
      <c r="E125" s="17"/>
      <c r="F125" s="17"/>
      <c r="G125" s="17"/>
    </row>
    <row r="126" spans="2:7">
      <c r="B126" s="8"/>
      <c r="C126" s="8"/>
      <c r="D126" s="16"/>
      <c r="E126" s="17"/>
      <c r="F126" s="17"/>
      <c r="G126" s="17"/>
    </row>
    <row r="127" spans="2:7">
      <c r="B127" s="8"/>
      <c r="C127" s="8"/>
      <c r="D127" s="16"/>
      <c r="E127" s="17"/>
      <c r="F127" s="17"/>
      <c r="G127" s="17"/>
    </row>
    <row r="128" spans="2:7">
      <c r="B128" s="8"/>
      <c r="C128" s="8"/>
      <c r="D128" s="16"/>
      <c r="E128" s="17"/>
      <c r="F128" s="17"/>
      <c r="G128" s="17"/>
    </row>
    <row r="129" spans="2:7">
      <c r="B129" s="8"/>
      <c r="C129" s="8"/>
      <c r="D129" s="16"/>
      <c r="E129" s="17"/>
      <c r="F129" s="17"/>
      <c r="G129" s="17"/>
    </row>
    <row r="130" spans="2:7">
      <c r="B130" s="8"/>
      <c r="C130" s="8"/>
      <c r="D130" s="16"/>
      <c r="E130" s="17"/>
      <c r="F130" s="17"/>
      <c r="G130" s="17"/>
    </row>
    <row r="131" spans="2:7">
      <c r="B131" s="8"/>
      <c r="C131" s="8"/>
      <c r="D131" s="16"/>
      <c r="E131" s="17"/>
      <c r="F131" s="17"/>
      <c r="G131" s="17"/>
    </row>
    <row r="132" spans="2:7">
      <c r="B132" s="8"/>
      <c r="C132" s="8"/>
      <c r="D132" s="16"/>
      <c r="E132" s="17"/>
      <c r="F132" s="17"/>
      <c r="G132" s="17"/>
    </row>
    <row r="133" spans="2:7">
      <c r="B133" s="8"/>
      <c r="C133" s="8"/>
      <c r="D133" s="16"/>
      <c r="E133" s="17"/>
      <c r="F133" s="17"/>
      <c r="G133" s="17"/>
    </row>
    <row r="134" spans="2:7">
      <c r="B134" s="8"/>
      <c r="C134" s="8"/>
      <c r="D134" s="16"/>
      <c r="E134" s="17"/>
      <c r="F134" s="17"/>
      <c r="G134" s="17"/>
    </row>
    <row r="135" spans="2:7">
      <c r="B135" s="8"/>
      <c r="C135" s="8"/>
      <c r="D135" s="16"/>
      <c r="E135" s="17"/>
      <c r="F135" s="17"/>
      <c r="G135" s="17"/>
    </row>
    <row r="136" spans="2:7">
      <c r="B136" s="8"/>
      <c r="C136" s="8"/>
      <c r="D136" s="16"/>
      <c r="E136" s="17"/>
      <c r="F136" s="17"/>
      <c r="G136" s="17"/>
    </row>
    <row r="137" spans="2:7">
      <c r="B137" s="8"/>
      <c r="C137" s="8"/>
      <c r="D137" s="16"/>
      <c r="E137" s="17"/>
      <c r="F137" s="17"/>
      <c r="G137" s="17"/>
    </row>
    <row r="138" spans="2:7">
      <c r="B138" s="8"/>
      <c r="C138" s="8"/>
      <c r="D138" s="16"/>
      <c r="E138" s="17"/>
      <c r="F138" s="17"/>
      <c r="G138" s="17"/>
    </row>
    <row r="139" spans="2:7">
      <c r="B139" s="8"/>
      <c r="C139" s="8"/>
      <c r="D139" s="16"/>
      <c r="E139" s="17"/>
      <c r="F139" s="17"/>
      <c r="G139" s="17"/>
    </row>
    <row r="140" spans="2:7">
      <c r="B140" s="8"/>
      <c r="C140" s="8"/>
      <c r="D140" s="16"/>
      <c r="E140" s="17"/>
      <c r="F140" s="17"/>
      <c r="G140" s="17"/>
    </row>
    <row r="141" spans="2:7">
      <c r="B141" s="8"/>
      <c r="C141" s="8"/>
      <c r="D141" s="16"/>
      <c r="E141" s="17"/>
      <c r="F141" s="17"/>
      <c r="G141" s="17"/>
    </row>
    <row r="142" spans="2:7">
      <c r="B142" s="8"/>
      <c r="C142" s="8"/>
      <c r="D142" s="16"/>
      <c r="E142" s="17"/>
      <c r="F142" s="17"/>
      <c r="G142" s="17"/>
    </row>
    <row r="143" spans="2:7">
      <c r="B143" s="8"/>
      <c r="C143" s="8"/>
      <c r="D143" s="16"/>
      <c r="E143" s="17"/>
      <c r="F143" s="17"/>
      <c r="G143" s="17"/>
    </row>
    <row r="144" spans="2:7">
      <c r="B144" s="8"/>
      <c r="C144" s="8"/>
      <c r="D144" s="16"/>
      <c r="E144" s="17"/>
      <c r="F144" s="17"/>
      <c r="G144" s="17"/>
    </row>
    <row r="145" spans="2:7">
      <c r="B145" s="8"/>
      <c r="C145" s="8"/>
      <c r="D145" s="16"/>
      <c r="E145" s="17"/>
      <c r="F145" s="17"/>
      <c r="G145" s="17"/>
    </row>
    <row r="146" spans="2:7">
      <c r="B146" s="8"/>
      <c r="C146" s="8"/>
      <c r="D146" s="16"/>
      <c r="E146" s="17"/>
      <c r="F146" s="17"/>
      <c r="G146" s="17"/>
    </row>
    <row r="147" spans="2:7">
      <c r="B147" s="8"/>
      <c r="C147" s="8"/>
      <c r="D147" s="16"/>
      <c r="E147" s="17"/>
      <c r="F147" s="17"/>
      <c r="G147" s="17"/>
    </row>
    <row r="148" spans="2:7">
      <c r="B148" s="8"/>
      <c r="C148" s="8"/>
      <c r="D148" s="16"/>
      <c r="E148" s="17"/>
      <c r="F148" s="17"/>
      <c r="G148" s="17"/>
    </row>
    <row r="149" spans="2:7">
      <c r="B149" s="8"/>
      <c r="C149" s="8"/>
      <c r="D149" s="16"/>
      <c r="E149" s="17"/>
      <c r="F149" s="17"/>
      <c r="G149" s="17"/>
    </row>
    <row r="150" spans="2:7">
      <c r="B150" s="8"/>
      <c r="C150" s="8"/>
      <c r="D150" s="16"/>
      <c r="E150" s="17"/>
      <c r="F150" s="17"/>
      <c r="G150" s="17"/>
    </row>
    <row r="151" spans="2:7">
      <c r="B151" s="8"/>
      <c r="C151" s="8"/>
      <c r="D151" s="16"/>
      <c r="E151" s="17"/>
      <c r="F151" s="17"/>
      <c r="G151" s="17"/>
    </row>
    <row r="152" spans="2:7">
      <c r="B152" s="8"/>
      <c r="C152" s="8"/>
      <c r="D152" s="16"/>
      <c r="E152" s="17"/>
      <c r="F152" s="17"/>
      <c r="G152" s="17"/>
    </row>
    <row r="153" spans="2:7">
      <c r="B153" s="8"/>
      <c r="C153" s="8"/>
      <c r="D153" s="16"/>
      <c r="E153" s="17"/>
      <c r="F153" s="17"/>
      <c r="G153" s="17"/>
    </row>
    <row r="154" spans="2:7">
      <c r="B154" s="8"/>
      <c r="C154" s="8"/>
      <c r="D154" s="16"/>
      <c r="E154" s="17"/>
      <c r="F154" s="17"/>
      <c r="G154" s="17"/>
    </row>
    <row r="155" spans="2:7">
      <c r="B155" s="8"/>
      <c r="C155" s="8"/>
      <c r="D155" s="16"/>
      <c r="E155" s="17"/>
      <c r="F155" s="17"/>
      <c r="G155" s="17"/>
    </row>
    <row r="156" spans="2:7">
      <c r="B156" s="8"/>
      <c r="C156" s="8"/>
      <c r="D156" s="16"/>
      <c r="E156" s="17"/>
      <c r="F156" s="17"/>
      <c r="G156" s="17"/>
    </row>
    <row r="157" spans="2:7">
      <c r="B157" s="8"/>
      <c r="C157" s="8"/>
      <c r="D157" s="16"/>
      <c r="E157" s="17"/>
      <c r="F157" s="17"/>
      <c r="G157" s="17"/>
    </row>
    <row r="158" spans="2:7">
      <c r="B158" s="8"/>
      <c r="C158" s="8"/>
      <c r="D158" s="16"/>
      <c r="E158" s="17"/>
      <c r="F158" s="17"/>
      <c r="G158" s="17"/>
    </row>
    <row r="159" spans="2:7">
      <c r="B159" s="8"/>
      <c r="C159" s="8"/>
      <c r="D159" s="16"/>
      <c r="E159" s="17"/>
      <c r="F159" s="17"/>
      <c r="G159" s="17"/>
    </row>
    <row r="160" spans="2:7">
      <c r="B160" s="8"/>
      <c r="C160" s="8"/>
      <c r="D160" s="16"/>
      <c r="E160" s="17"/>
      <c r="F160" s="17"/>
      <c r="G160" s="17"/>
    </row>
    <row r="161" spans="2:7">
      <c r="B161" s="8"/>
      <c r="C161" s="8"/>
      <c r="D161" s="16"/>
      <c r="E161" s="17"/>
      <c r="F161" s="17"/>
      <c r="G161" s="17"/>
    </row>
    <row r="162" spans="2:7">
      <c r="B162" s="8"/>
      <c r="C162" s="8"/>
      <c r="D162" s="16"/>
      <c r="E162" s="17"/>
      <c r="F162" s="17"/>
      <c r="G162" s="17"/>
    </row>
    <row r="163" spans="2:7">
      <c r="B163" s="8"/>
      <c r="C163" s="8"/>
      <c r="D163" s="16"/>
      <c r="E163" s="17"/>
      <c r="F163" s="17"/>
      <c r="G163" s="17"/>
    </row>
    <row r="164" spans="2:7">
      <c r="B164" s="8"/>
      <c r="C164" s="8"/>
      <c r="D164" s="16"/>
      <c r="E164" s="17"/>
      <c r="F164" s="17"/>
      <c r="G164" s="17"/>
    </row>
    <row r="165" spans="2:7">
      <c r="B165" s="8"/>
      <c r="C165" s="8"/>
      <c r="D165" s="16"/>
      <c r="E165" s="17"/>
      <c r="F165" s="17"/>
      <c r="G165" s="17"/>
    </row>
    <row r="166" spans="2:7">
      <c r="B166" s="8"/>
      <c r="C166" s="8"/>
      <c r="D166" s="16"/>
      <c r="E166" s="17"/>
      <c r="F166" s="17"/>
      <c r="G166" s="17"/>
    </row>
    <row r="167" spans="2:7">
      <c r="B167" s="8"/>
      <c r="C167" s="8"/>
      <c r="D167" s="16"/>
      <c r="E167" s="17"/>
      <c r="F167" s="17"/>
      <c r="G167" s="17"/>
    </row>
    <row r="168" spans="2:7">
      <c r="B168" s="8"/>
      <c r="C168" s="8"/>
      <c r="D168" s="16"/>
      <c r="E168" s="17"/>
      <c r="F168" s="17"/>
      <c r="G168" s="17"/>
    </row>
    <row r="169" spans="2:7">
      <c r="B169" s="8"/>
      <c r="C169" s="8"/>
      <c r="D169" s="16"/>
      <c r="E169" s="17"/>
      <c r="F169" s="17"/>
      <c r="G169" s="17"/>
    </row>
    <row r="170" spans="2:7">
      <c r="B170" s="8"/>
      <c r="C170" s="8"/>
      <c r="D170" s="16"/>
      <c r="E170" s="17"/>
      <c r="F170" s="17"/>
      <c r="G170" s="17"/>
    </row>
    <row r="171" spans="2:7">
      <c r="B171" s="8"/>
      <c r="C171" s="8"/>
      <c r="D171" s="16"/>
      <c r="E171" s="17"/>
      <c r="F171" s="17"/>
      <c r="G171" s="17"/>
    </row>
    <row r="172" spans="2:7">
      <c r="B172" s="8"/>
      <c r="C172" s="8"/>
      <c r="D172" s="16"/>
      <c r="E172" s="17"/>
      <c r="F172" s="17"/>
      <c r="G172" s="17"/>
    </row>
    <row r="173" spans="2:7">
      <c r="B173" s="8"/>
      <c r="C173" s="8"/>
      <c r="D173" s="16"/>
      <c r="E173" s="17"/>
      <c r="F173" s="17"/>
      <c r="G173" s="17"/>
    </row>
    <row r="174" spans="2:7">
      <c r="B174" s="8"/>
      <c r="C174" s="8"/>
      <c r="D174" s="16"/>
      <c r="E174" s="17"/>
      <c r="F174" s="17"/>
      <c r="G174" s="17"/>
    </row>
    <row r="175" spans="2:7">
      <c r="B175" s="8"/>
      <c r="C175" s="8"/>
      <c r="D175" s="16"/>
      <c r="E175" s="17"/>
      <c r="F175" s="17"/>
      <c r="G175" s="17"/>
    </row>
    <row r="176" spans="2:7">
      <c r="B176" s="8"/>
      <c r="C176" s="8"/>
      <c r="D176" s="16"/>
      <c r="E176" s="17"/>
      <c r="F176" s="17"/>
      <c r="G176" s="17"/>
    </row>
    <row r="177" spans="2:7">
      <c r="B177" s="8"/>
      <c r="C177" s="8"/>
      <c r="D177" s="16"/>
      <c r="E177" s="17"/>
      <c r="F177" s="17"/>
      <c r="G177" s="17"/>
    </row>
    <row r="178" spans="2:7">
      <c r="B178" s="8"/>
      <c r="C178" s="8"/>
      <c r="D178" s="16"/>
      <c r="E178" s="17"/>
      <c r="F178" s="17"/>
      <c r="G178" s="17"/>
    </row>
    <row r="179" spans="2:7">
      <c r="B179" s="8"/>
      <c r="C179" s="8"/>
      <c r="D179" s="16"/>
      <c r="E179" s="17"/>
      <c r="F179" s="17"/>
      <c r="G179" s="17"/>
    </row>
    <row r="180" spans="2:7">
      <c r="B180" s="8"/>
      <c r="C180" s="8"/>
      <c r="D180" s="16"/>
      <c r="E180" s="17"/>
      <c r="F180" s="17"/>
      <c r="G180" s="17"/>
    </row>
    <row r="181" spans="2:7">
      <c r="B181" s="8"/>
      <c r="C181" s="8"/>
      <c r="D181" s="16"/>
      <c r="E181" s="17"/>
      <c r="F181" s="17"/>
      <c r="G181" s="17"/>
    </row>
    <row r="182" spans="2:7">
      <c r="B182" s="8"/>
      <c r="C182" s="8"/>
      <c r="D182" s="16"/>
      <c r="E182" s="17"/>
      <c r="F182" s="17"/>
      <c r="G182" s="17"/>
    </row>
    <row r="183" spans="2:7">
      <c r="B183" s="8"/>
      <c r="C183" s="8"/>
      <c r="D183" s="16"/>
      <c r="E183" s="17"/>
      <c r="F183" s="17"/>
      <c r="G183" s="17"/>
    </row>
    <row r="184" spans="2:7">
      <c r="B184" s="8"/>
      <c r="C184" s="8"/>
      <c r="D184" s="16"/>
      <c r="E184" s="17"/>
      <c r="F184" s="17"/>
      <c r="G184" s="17"/>
    </row>
    <row r="185" spans="2:7">
      <c r="B185" s="8"/>
      <c r="C185" s="8"/>
      <c r="D185" s="16"/>
      <c r="E185" s="17"/>
      <c r="F185" s="17"/>
      <c r="G185" s="17"/>
    </row>
  </sheetData>
  <mergeCells count="2">
    <mergeCell ref="D8:E8"/>
    <mergeCell ref="D67:E67"/>
  </mergeCells>
  <phoneticPr fontId="1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16" sqref="I16"/>
    </sheetView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8</vt:i4>
      </vt:variant>
    </vt:vector>
  </HeadingPairs>
  <TitlesOfParts>
    <vt:vector size="13" baseType="lpstr">
      <vt:lpstr>input</vt:lpstr>
      <vt:lpstr>correcoes</vt:lpstr>
      <vt:lpstr>areas</vt:lpstr>
      <vt:lpstr>Analise_tempo</vt:lpstr>
      <vt:lpstr>Plan1</vt:lpstr>
      <vt:lpstr>a</vt:lpstr>
      <vt:lpstr>alfa</vt:lpstr>
      <vt:lpstr>input!Area_de_impressao</vt:lpstr>
      <vt:lpstr>b</vt:lpstr>
      <vt:lpstr>d</vt:lpstr>
      <vt:lpstr>kb</vt:lpstr>
      <vt:lpstr>T</vt:lpstr>
      <vt:lpstr>time</vt:lpstr>
    </vt:vector>
  </TitlesOfParts>
  <Company>if-ufrj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</dc:creator>
  <cp:lastModifiedBy>Lucas</cp:lastModifiedBy>
  <cp:lastPrinted>2009-06-29T15:08:51Z</cp:lastPrinted>
  <dcterms:created xsi:type="dcterms:W3CDTF">2008-12-04T20:36:05Z</dcterms:created>
  <dcterms:modified xsi:type="dcterms:W3CDTF">2012-11-21T16:36:02Z</dcterms:modified>
</cp:coreProperties>
</file>